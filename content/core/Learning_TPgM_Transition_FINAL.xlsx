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ing" sheetId="1" r:id="rId4"/>
    <sheet state="visible" name="Interviews" sheetId="2" r:id="rId5"/>
    <sheet state="visible" name="Job Hunt" sheetId="3" r:id="rId6"/>
    <sheet state="visible" name="Portfolio" sheetId="4" r:id="rId7"/>
    <sheet state="visible" name="Case Studies" sheetId="5" r:id="rId8"/>
    <sheet state="visible" name="Connections" sheetId="6" r:id="rId9"/>
    <sheet state="visible" name="Planning" sheetId="7" r:id="rId10"/>
    <sheet state="visible" name="Garage" sheetId="8" r:id="rId11"/>
  </sheets>
  <definedNames/>
  <calcPr/>
  <extLst>
    <ext uri="GoogleSheetsCustomDataVersion2">
      <go:sheetsCustomData xmlns:go="http://customooxmlschemas.google.com/" r:id="rId12" roundtripDataChecksum="Y/in9tkQUKX8TSlbkrcH1NmrRGzouqPJsFt4gpROJag="/>
    </ext>
  </extLst>
</workbook>
</file>

<file path=xl/sharedStrings.xml><?xml version="1.0" encoding="utf-8"?>
<sst xmlns="http://schemas.openxmlformats.org/spreadsheetml/2006/main" count="1407" uniqueCount="847">
  <si>
    <t>📘  TPgM 12-Week Learning &amp; Transition Tracker</t>
  </si>
  <si>
    <t>Start Date:</t>
  </si>
  <si>
    <t>Today:</t>
  </si>
  <si>
    <t>Week #:</t>
  </si>
  <si>
    <t>📋 Total Items</t>
  </si>
  <si>
    <t>✅ Done</t>
  </si>
  <si>
    <t>📊 Progress %</t>
  </si>
  <si>
    <t>🔄 In Progress</t>
  </si>
  <si>
    <t>⏳ Pending</t>
  </si>
  <si>
    <t>📅 This Week</t>
  </si>
  <si>
    <t>Week</t>
  </si>
  <si>
    <t>Day</t>
  </si>
  <si>
    <t>Type</t>
  </si>
  <si>
    <t>Topic / Task</t>
  </si>
  <si>
    <t>Description</t>
  </si>
  <si>
    <t>Deliverable / Evidence</t>
  </si>
  <si>
    <t>Status</t>
  </si>
  <si>
    <t>W1</t>
  </si>
  <si>
    <t>D1</t>
  </si>
  <si>
    <t>🎯 SETUP</t>
  </si>
  <si>
    <t>LinkedIn Headline + Profile Rewrite</t>
  </si>
  <si>
    <t>Change to: 'Senior SWE → Technical Program Manager | AI/GenAI Delivery | Cross-team Coordination | MBA Candidate'</t>
  </si>
  <si>
    <t>Live LinkedIn profile with TPM positioning</t>
  </si>
  <si>
    <t>Done</t>
  </si>
  <si>
    <t>D2</t>
  </si>
  <si>
    <t>Wins Journal — First Entry</t>
  </si>
  <si>
    <t>Create private doc (Google/Notion). Format: Date | Program | Action | Outcome. Target: 3 entries/week.</t>
  </si>
  <si>
    <t>Wins journal created with first entry</t>
  </si>
  <si>
    <t>⬜ Pending</t>
  </si>
  <si>
    <t>D3</t>
  </si>
  <si>
    <t>Job Alert Pipeline</t>
  </si>
  <si>
    <t>LinkedIn: 'Technical Program Manager' + India. Naukri + Cutshort alerts. Apply within 72h of posting.</t>
  </si>
  <si>
    <t>Active alerts on all platforms</t>
  </si>
  <si>
    <t>D4</t>
  </si>
  <si>
    <t>THEORY</t>
  </si>
  <si>
    <t>What a TPM Actually Does</t>
  </si>
  <si>
    <t>TPM owns delivery — not code. Coordinates eng/product/design/QA/ops. Manages RAID. Communicates up+sideways.</t>
  </si>
  <si>
    <t>1-pg doc: 'What a TPM does and why I am a fit'</t>
  </si>
  <si>
    <t>D5</t>
  </si>
  <si>
    <t>BUILD</t>
  </si>
  <si>
    <t>RAID Log for SALLY</t>
  </si>
  <si>
    <t>Fill Section 18.2. List every risk, assumption, issue, and dependency in SALLY's current state.</t>
  </si>
  <si>
    <t>Live RAID log in Google Sheets (your 1st TPM artifact)</t>
  </si>
  <si>
    <t>D6</t>
  </si>
  <si>
    <t>First Executive Update</t>
  </si>
  <si>
    <t>Use Section 18.6. Write 1-page RAG status for SALLY/Harmonize. Send to manager. Save email thread.</t>
  </si>
  <si>
    <t>Sent + acknowledged RAG update (timestamped evidence)</t>
  </si>
  <si>
    <t>D7</t>
  </si>
  <si>
    <t>Naukri.com Profile</t>
  </si>
  <si>
    <t>Create/update with TPM headline. Enable profile visibility. Add job alerts.</t>
  </si>
  <si>
    <t>Active Naukri profile</t>
  </si>
  <si>
    <t>W2</t>
  </si>
  <si>
    <t>Agile / Scrum for TPMs</t>
  </si>
  <si>
    <t>Sprints, backlog, standups, retros, velocity, burndown. You use Scrum to protect the delivery timeline.</t>
  </si>
  <si>
    <t>1-pg Agile cheat sheet for TPMs</t>
  </si>
  <si>
    <t>Kanban vs SAFe</t>
  </si>
  <si>
    <t>Kanban: flow-based, no time-boxes. SAFe: enterprise Agile with PI planning. Comes up in big-tech interviews.</t>
  </si>
  <si>
    <t>Comparison: Scrum vs Kanban vs SAFe</t>
  </si>
  <si>
    <t>OKRs for TPMs</t>
  </si>
  <si>
    <t>Objectives = qualitative, ambitious. KRs = measurable. TPM translates KRs into program milestones.</t>
  </si>
  <si>
    <t>1 Objective + 3 KRs for SALLY Q3 with milestone mapping</t>
  </si>
  <si>
    <t>RACI Matrix</t>
  </si>
  <si>
    <t>Responsible / Accountable / Consulted / Informed. One entry per task per role. Prevents ownership gaps.</t>
  </si>
  <si>
    <t>RACI matrix for SALLY feature team</t>
  </si>
  <si>
    <t>Critical Path &amp; Milestone Planning</t>
  </si>
  <si>
    <t>Critical path = longest chain of dependent tasks. Add a day here = add a day to delivery date.</t>
  </si>
  <si>
    <t>Critical path diagram for current SALLY sprint</t>
  </si>
  <si>
    <t>Risk Management Framework</t>
  </si>
  <si>
    <t>Identify → Assess (L×I) → Mitigate → Monitor. Every risk needs: owner, mitigation, trigger date.</t>
  </si>
  <si>
    <t>Risk register for SALLY: 5+ risks</t>
  </si>
  <si>
    <t>Dependency Tracker for SALLY</t>
  </si>
  <si>
    <t>Open Section 18.3. Fill for current sprint. Share in next standup as living doc.</t>
  </si>
  <si>
    <t>Active dependency tracker shared with team</t>
  </si>
  <si>
    <t>D8</t>
  </si>
  <si>
    <t>Cutshort.io Profile</t>
  </si>
  <si>
    <t>Create profile. Search 'Technical Program Manager.' Set salary filter ₹15L+. Update bi-weekly.</t>
  </si>
  <si>
    <t>Active Cutshort.io profile</t>
  </si>
  <si>
    <t>W3</t>
  </si>
  <si>
    <t>Program Charter</t>
  </si>
  <si>
    <t>Scope, success metrics, non-goals, team, timeline, risks. Stakeholder sign-off before work begins.</t>
  </si>
  <si>
    <t>Program charter template (reusable)</t>
  </si>
  <si>
    <t>SALLY Program Charter</t>
  </si>
  <si>
    <t>Write charter from template. Even without formal approval, demonstrates TPM thinking.</t>
  </si>
  <si>
    <t>SALLY program charter (Google Doc / Notion)</t>
  </si>
  <si>
    <t>Sprint Planning for TPMs</t>
  </si>
  <si>
    <t>Ensure sprint work connects to program milestones. Watch for: capacity risk, dependency violations.</t>
  </si>
  <si>
    <t>Sprint review checklist for TPMs</t>
  </si>
  <si>
    <t>Harmonize Dependency Map</t>
  </si>
  <si>
    <t>Map full dependency structure. Visualize with Miro/FigJam. Export as PDF for portfolio.</t>
  </si>
  <si>
    <t>Dependency map (Miro/FigJam — PDF)</t>
  </si>
  <si>
    <t>Decision Logs &amp; Meeting Notes</t>
  </si>
  <si>
    <t>Every key decision: what, why, alternatives, who decided, date. Prevents re-litigation.</t>
  </si>
  <si>
    <t>Decision log template + 3 real SALLY decisions</t>
  </si>
  <si>
    <t>Escalation Management</t>
  </si>
  <si>
    <t>Know escalation path before you need it. 2-day rule: if blocked and not moving, escalate.</t>
  </si>
  <si>
    <t>Escalation matrix for SALLY</t>
  </si>
  <si>
    <t>The Wins Journal</t>
  </si>
  <si>
    <t>Private dated entries (3+/wk). Feeds resume bullets, STAR stories, and interview answers.</t>
  </si>
  <si>
    <t>Wins journal with 5+ entries</t>
  </si>
  <si>
    <t>Portfolio Artifact 1 — SALLY Case Study</t>
  </si>
  <si>
    <t>Write SALLY case study using Section 19. Program scope, role, dependencies, outcomes.</t>
  </si>
  <si>
    <t>SALLY case study draft (#1 portfolio item)</t>
  </si>
  <si>
    <t>W4</t>
  </si>
  <si>
    <t>System Design for TPMs</t>
  </si>
  <si>
    <t>Monolith vs microservices, sync vs async, latency vs throughput, SPOFs.</t>
  </si>
  <si>
    <t>Technical risk spotter cheat sheet</t>
  </si>
  <si>
    <t>API Strategy &amp; Technical Risk</t>
  </si>
  <si>
    <t>API contracts, breaking changes, estimate validation: sub-tasks, unknowns, buffer at integration.</t>
  </si>
  <si>
    <t>Tech risk checklist: 5 questions per feature</t>
  </si>
  <si>
    <t>Technical Debt &amp; Trade-offs</t>
  </si>
  <si>
    <t>How debt accumulates. Frame it as program risk — not developer preference. Translate to business impact.</t>
  </si>
  <si>
    <t>1-pg: 'How to explain tech debt to a VP'</t>
  </si>
  <si>
    <t>Technical PRD for SALLY Feature</t>
  </si>
  <si>
    <t>Requirements, dependencies, risks, acceptance criteria, DOD, rollback plan.</t>
  </si>
  <si>
    <t>Technical PRD (one real SALLY feature)</t>
  </si>
  <si>
    <t>AI/GenAI Program Delivery — Your Edge</t>
  </si>
  <si>
    <t>AI differs: hallucination, latency, model versioning, A/B testing, T&amp;S. Most TPM candidates have zero AI delivery.</t>
  </si>
  <si>
    <t>AI program risks framework for RAID log</t>
  </si>
  <si>
    <t>ORBIS &amp; Harmonize as TPM Cases</t>
  </si>
  <si>
    <t>Reframe ORBIS and Harmonize as PM case studies using RAID log language.</t>
  </si>
  <si>
    <t>2 additional case studies (portfolio backups)</t>
  </si>
  <si>
    <t>SWE → TPM Vocabulary</t>
  </si>
  <si>
    <t>'I coded it' → 'I drove end-to-end delivery.' 'Fixed bugs' → 'Resolved delivery blockers.'</t>
  </si>
  <si>
    <t>SWE→TPM vocabulary cheat sheet (10 transforms)</t>
  </si>
  <si>
    <t>Resume Rewrite — First Draft</t>
  </si>
  <si>
    <t>Rewrite every bullet in TPM language. STAR-P format. Coordination, delivery ownership, outcomes.</t>
  </si>
  <si>
    <t>First resume draft (TPM language, v1)</t>
  </si>
  <si>
    <t>W5</t>
  </si>
  <si>
    <t>Executive Communication for TPMs</t>
  </si>
  <si>
    <t>RAG + 3 bullets. Readable in 90s. Weekly when G/A, immediately when Red. One ask per update.</t>
  </si>
  <si>
    <t>Executive update template (finalized)</t>
  </si>
  <si>
    <t>RAG Status Report — Harmonize</t>
  </si>
  <si>
    <t>VP-level RAG: G/A/R, 2-line summary, 3 milestones, 1 risk, 1 ask. Send to manager.</t>
  </si>
  <si>
    <t>Sent Harmonize RAG update (evidence #2)</t>
  </si>
  <si>
    <t>Influencing Without Authority</t>
  </si>
  <si>
    <t>Four tools: framing, data, social capital, escalation (last resort).</t>
  </si>
  <si>
    <t>Influence map for SALLY</t>
  </si>
  <si>
    <t>Stakeholder Map for SALLY</t>
  </si>
  <si>
    <t>Power-interest grid: client, PM, FE/BE/QA/infra leads, management. Comm type + cadence for each.</t>
  </si>
  <si>
    <t>Stakeholder map + communication plan</t>
  </si>
  <si>
    <t>Conflict Resolution Frameworks</t>
  </si>
  <si>
    <t>Interest-based negotiation (BATNA). Separate people from problem. Resolve peer-to-peer first.</t>
  </si>
  <si>
    <t>Conflict resolution playbook: 3 methods</t>
  </si>
  <si>
    <t>Managing Up vs Managing Sideways</t>
  </si>
  <si>
    <t>Up = keep leadership informed. Sideways = align peers without authority. Different languages, cadences.</t>
  </si>
  <si>
    <t>1-pg: difference + RL examples</t>
  </si>
  <si>
    <t>RACI Matrix for SALLY + Harmonize</t>
  </si>
  <si>
    <t>RACI for every active workstream across both programs. Export as PDF.</t>
  </si>
  <si>
    <t>RACI matrices for both programs (PDF)</t>
  </si>
  <si>
    <t>3 Conflict Resolution STAR Stories</t>
  </si>
  <si>
    <t>API conflict, client gap, manager absence. Practice aloud. Time yourself. 2 min each.</t>
  </si>
  <si>
    <t>3 polished STAR stories (timed)</t>
  </si>
  <si>
    <t>W6</t>
  </si>
  <si>
    <t>RICE, MoSCoW, WSJF, Impact-Effort</t>
  </si>
  <si>
    <t>RICE = R×I×C÷E. MoSCoW = Must/Should/Could/Won't. WSJF = CoD÷Duration. 2×2 matrix.</t>
  </si>
  <si>
    <t>Framework decision guide (1-pg)</t>
  </si>
  <si>
    <t>Feature Backlog + RICE Scoring</t>
  </si>
  <si>
    <t>List 10 SALLY features. Score each using RICE. Defend top 3 in writing.</t>
  </si>
  <si>
    <t>Scored SALLY backlog (RICE table)</t>
  </si>
  <si>
    <t>Program Roadmapping</t>
  </si>
  <si>
    <t>Now/Next/Later beats Gantt. Each item tied to a KR. Roadmap communicates strategy, not tasks.</t>
  </si>
  <si>
    <t>Roadmap template: Now/Next/Later + Timeline</t>
  </si>
  <si>
    <t>SALLY 6-Month Roadmap</t>
  </si>
  <si>
    <t>Now/Next/Later tied to OKR KRs. Portfolio Artifact #3.</t>
  </si>
  <si>
    <t>SALLY 6-month roadmap (Portfolio #3)</t>
  </si>
  <si>
    <t>Cost of Delay &amp; Scope Negotiation</t>
  </si>
  <si>
    <t>CoD = economic impact of delay. Script: 'If we add this, what do we drop?'</t>
  </si>
  <si>
    <t>CoD calc for 1 real SALLY/Harmonize decision</t>
  </si>
  <si>
    <t>Fintech TPM Domain Positioning</t>
  </si>
  <si>
    <t>ORBIS, Dhan API, NSE tools = genuine fintech depth. Lead with this at Razorpay/Zerodha/PhonePe.</t>
  </si>
  <si>
    <t>Fintech paragraph for LinkedIn + InMails</t>
  </si>
  <si>
    <t>Wins Journal — Checkpoint</t>
  </si>
  <si>
    <t>Target: 10+ entries. Extract: 3 resume bullets, 2 STAR seeds, 1 LinkedIn post.</t>
  </si>
  <si>
    <t>Updated journal + extracted content</t>
  </si>
  <si>
    <t>Portfolio Artifact 2 — Harmonize Case</t>
  </si>
  <si>
    <t>Write Harmonize case study. Combine SALLY+Harmonize into 1 portfolio PDF.</t>
  </si>
  <si>
    <t>2-program portfolio PDF (centerpiece)</t>
  </si>
  <si>
    <t>W7</t>
  </si>
  <si>
    <t>TPM Interview Playbook</t>
  </si>
  <si>
    <t>5 types: PM, Technical, Behavioral, Case Study, Estimation. Each has a different answer structure.</t>
  </si>
  <si>
    <t>Interview framework cheat sheet (printable)</t>
  </si>
  <si>
    <t>PRACTICE</t>
  </si>
  <si>
    <t>Mock — Program Management Round</t>
  </si>
  <si>
    <t>'Plan a feature launch across 4 teams in 3 months.' Record yourself. Listen back.</t>
  </si>
  <si>
    <t>Recorded mock (video, reviewed)</t>
  </si>
  <si>
    <t>Mock — Technical Round</t>
  </si>
  <si>
    <t>Identify tech risks. Validate 3-week estimate. Use your cheat sheet.</t>
  </si>
  <si>
    <t>Written + spoken answers (timed)</t>
  </si>
  <si>
    <t>Mock — Behavioral Round</t>
  </si>
  <si>
    <t>STAR: influence w/o authority, program at risk, conflict between teams. 2 min each.</t>
  </si>
  <si>
    <t>3 STAR stories spoken aloud (recorded)</t>
  </si>
  <si>
    <t>Mock — Case Study Round</t>
  </si>
  <si>
    <t>UPI payments feature, 5 teams, 3 months. Clarify → Charter → Dep Map → RAID → Timeline → Comms → Risks.</t>
  </si>
  <si>
    <t>Full case study response (doc + spoken)</t>
  </si>
  <si>
    <t>5 STAR Stories — Your Personal Bank</t>
  </si>
  <si>
    <t>SALLY, Harmonize, Conflict, Manager Absence, Mentoring. Write all 5. Memorize.</t>
  </si>
  <si>
    <t>STAR story bank (Google Doc, timed)</t>
  </si>
  <si>
    <t>Salary Negotiation Playbook</t>
  </si>
  <si>
    <t>Target ₹18–25 LPA. Never give first number. BATNA decided in advance.</t>
  </si>
  <si>
    <t>Negotiation script written + rehearsed</t>
  </si>
  <si>
    <t>90-Second Career Narrative</t>
  </si>
  <si>
    <t>Your SWE→TPM story. First impression in every interview. Memorize it.</t>
  </si>
  <si>
    <t>Script written + rehearsed 10×</t>
  </si>
  <si>
    <t>W8</t>
  </si>
  <si>
    <t>Resume — Final Version</t>
  </si>
  <si>
    <t>ATS-optimised, 1 page, TPM language, PDF. Keywords: TPM, Agile, Scrum, RAID, OKRs.</t>
  </si>
  <si>
    <t>Final resume PDF (go-live asset)</t>
  </si>
  <si>
    <t>LinkedIn — Full Update</t>
  </si>
  <si>
    <t>Headline, About, Experience (TPM language), Featured (portfolio+GitHub), Open to Work.</t>
  </si>
  <si>
    <t>Live LinkedIn profile (screenshot+URL)</t>
  </si>
  <si>
    <t>20 Cold Outreach Messages</t>
  </si>
  <si>
    <t>5 TPMs (A), 5 SWE→TPM (B), 5 recruiters (C), 5 MBA alumni. All personalised, &lt;100 words.</t>
  </si>
  <si>
    <t>20 messages sent (logged in Connections)</t>
  </si>
  <si>
    <t>JOB HUNT</t>
  </si>
  <si>
    <t>Apply to 10 Jobs</t>
  </si>
  <si>
    <t>Tier 2 first: Razorpay, PhonePe, Groww, CRED, JPMorgan. Tier 1: Walmart, Flipkart, etc.</t>
  </si>
  <si>
    <t>10 applications submitted + logged</t>
  </si>
  <si>
    <t>Target Company Research</t>
  </si>
  <si>
    <t>For each target: TPM team on LinkedIn, hiring manager, Glassdoor TPM reviews.</t>
  </si>
  <si>
    <t>Research notes for all 10 targets</t>
  </si>
  <si>
    <t>Application Tracker Active</t>
  </si>
  <si>
    <t>Log all in Job Hunt sheet. Funnel: Identified → Applied → Screened → Interview → Offer.</t>
  </si>
  <si>
    <t>Active tracker with 10+ entries</t>
  </si>
  <si>
    <t>NETWORK</t>
  </si>
  <si>
    <t>MBA Batch + Alumni Outreach</t>
  </si>
  <si>
    <t>Search MBA batch → filter 'TPM' or 'PM'. Send 5 personalised connection requests.</t>
  </si>
  <si>
    <t>5 warm MBA connections</t>
  </si>
  <si>
    <t>REVIEW</t>
  </si>
  <si>
    <t>Portfolio Review + Go-Live 🚀</t>
  </si>
  <si>
    <t>✓ RAID 8+ wks ✓ 2+ RAG updates ✓ Cases done ✓ Resume final ✓ LinkedIn live ✓ 10+ apps</t>
  </si>
  <si>
    <t>Full TPgM transition launched</t>
  </si>
  <si>
    <t>🎤  TPgM Interview Prep Tracker — Readiness Score</t>
  </si>
  <si>
    <t>📋 Total Questions</t>
  </si>
  <si>
    <t>✅ Ready (≥3 reps)</t>
  </si>
  <si>
    <t>📊 Readiness %</t>
  </si>
  <si>
    <t>🟢 Easy</t>
  </si>
  <si>
    <t>🟡 Medium</t>
  </si>
  <si>
    <t>🔴 Hard</t>
  </si>
  <si>
    <t>🔑 The 8 Questions Every TPM Interviewer Asks (from v5.md §19)</t>
  </si>
  <si>
    <t>How many teams were involved?</t>
  </si>
  <si>
    <t>Exact number + team names</t>
  </si>
  <si>
    <t>What was the timeline?</t>
  </si>
  <si>
    <t>Start → end (even approximate)</t>
  </si>
  <si>
    <t>What was the actual blocker?</t>
  </si>
  <si>
    <t>Specific technical or org issue</t>
  </si>
  <si>
    <t>What did YOU do about it?</t>
  </si>
  <si>
    <t>Your exact action — not 'we'</t>
  </si>
  <si>
    <t>What decision did you make?</t>
  </si>
  <si>
    <t>Real decision with 2 options</t>
  </si>
  <si>
    <t>What was the outcome?</t>
  </si>
  <si>
    <t>Metric or concrete deliverable</t>
  </si>
  <si>
    <t>What would you do differently?</t>
  </si>
  <si>
    <t>Honest lesson = maturity</t>
  </si>
  <si>
    <t>What was the business impact?</t>
  </si>
  <si>
    <t>Revenue / user / efficiency</t>
  </si>
  <si>
    <t>QUESTION TYPE</t>
  </si>
  <si>
    <t>DIFFICULTY</t>
  </si>
  <si>
    <t>SAMPLE QUESTION</t>
  </si>
  <si>
    <t>TIMES PRACTICED</t>
  </si>
  <si>
    <t>READY (auto)</t>
  </si>
  <si>
    <t>NOTES / WEAK SPOTS</t>
  </si>
  <si>
    <t>Program Management</t>
  </si>
  <si>
    <t>Walk me through setting up a program for a feature launch across 4 teams in 3 months.</t>
  </si>
  <si>
    <t>Clarify → Charter → Dep map → RAID → Timeline → Milestones → RAG cadence.</t>
  </si>
  <si>
    <t>A critical dependency is slipping 3 weeks before launch. What do you do?</t>
  </si>
  <si>
    <t>Escalate fast. Re-plan. Descope (MoSCoW). Never hide bad news.</t>
  </si>
  <si>
    <t>Two teams have conflicting priorities. How do you resolve it?</t>
  </si>
  <si>
    <t>Interest-based negotiation. Understand constraints. Escalate if &gt;2 days.</t>
  </si>
  <si>
    <t>How do you keep executives informed without overwhelming them?</t>
  </si>
  <si>
    <t>RAG + 3 bullets. Weekly. One ask per update. Never surprise leadership.</t>
  </si>
  <si>
    <t>A stakeholder expands scope mid-sprint. How do you handle it?</t>
  </si>
  <si>
    <t>MoSCoW: 'If we add this, what do we drop?' Document every scope decision.</t>
  </si>
  <si>
    <t>Run a dependency mapping workshop with 4 teams?</t>
  </si>
  <si>
    <t>Block 2h. Each team lists I/O. Map cross-deps. Create RAID log.</t>
  </si>
  <si>
    <t>How do you create a program charter for a new initiative?</t>
  </si>
  <si>
    <t>Goal, scope, stakeholders, success metrics, risks.</t>
  </si>
  <si>
    <t>Launch date is fixed but scope won't fit. What do you do?</t>
  </si>
  <si>
    <t>Tradeoff discussion. Scope triangle. Prioritize outcomes.</t>
  </si>
  <si>
    <t>How do you determine a program's critical path?</t>
  </si>
  <si>
    <t>Dependency mapping. Longest chain. Buffer management.</t>
  </si>
  <si>
    <t>Three teams report different completion percentages. How do you determine real status?</t>
  </si>
  <si>
    <t>Evidence over opinions. Milestone-based tracking.</t>
  </si>
  <si>
    <t>What metrics would you track for a program health dashboard?</t>
  </si>
  <si>
    <t>Schedule, risks, scope, quality, dependencies.</t>
  </si>
  <si>
    <t>Leadership wants a launch date before planning is complete. What do you do?</t>
  </si>
  <si>
    <t>Confidence ranges. Assumptions. Risks documented.</t>
  </si>
  <si>
    <t>How do you run an effective weekly program review?</t>
  </si>
  <si>
    <t>Status, risks, decisions, blockers, actions.</t>
  </si>
  <si>
    <t>A team consistently misses commitments. How do you handle it?</t>
  </si>
  <si>
    <t>Root cause first. Data-driven discussion.</t>
  </si>
  <si>
    <t>Program is green everywhere but still feels risky. What do you investigate?</t>
  </si>
  <si>
    <t>Hidden dependencies. Integration risks. Optimism bias.</t>
  </si>
  <si>
    <t>How do you define success criteria for a program?</t>
  </si>
  <si>
    <t>Business outcomes, user impact, delivery metrics.</t>
  </si>
  <si>
    <t>Technical</t>
  </si>
  <si>
    <t>Explain an API to a non-technical stakeholder.</t>
  </si>
  <si>
    <t>Interface analogy. Inputs/outputs.</t>
  </si>
  <si>
    <t>Service latency doubled after launch. What questions do you ask?</t>
  </si>
  <si>
    <t>Scope, metrics, infra, dependencies.</t>
  </si>
  <si>
    <t>What is the difference between availability and reliability?</t>
  </si>
  <si>
    <t>Uptime vs consistent performance.</t>
  </si>
  <si>
    <t>How would you run a large-scale migration with zero downtime?</t>
  </si>
  <si>
    <t>Parallel run. Rollback. Canary release.</t>
  </si>
  <si>
    <t>What is a rollback strategy and why is it important?</t>
  </si>
  <si>
    <t>Launch safety mechanism.</t>
  </si>
  <si>
    <t>How would you coordinate a database migration across multiple services?</t>
  </si>
  <si>
    <t>Backward compatibility first.</t>
  </si>
  <si>
    <t>What questions would you ask during architecture review?</t>
  </si>
  <si>
    <t>Scalability, reliability, dependencies.</t>
  </si>
  <si>
    <t>Production outage during launch. Walk me through your response.</t>
  </si>
  <si>
    <t>Incident command structure. Communication.</t>
  </si>
  <si>
    <t>Why do TPMs need to understand system design?</t>
  </si>
  <si>
    <t>Better risk and dependency management.</t>
  </si>
  <si>
    <t>Multiple teams depend on one shared service. What risks exist?</t>
  </si>
  <si>
    <t>SPOF. Scaling bottlenecks. Ownership gaps.</t>
  </si>
  <si>
    <t>How would you identify risks in a program you don't fully understand technically?</t>
  </si>
  <si>
    <t>Ask 'what could go wrong?' Check SPOFs, external API + infra dependencies.</t>
  </si>
  <si>
    <t>Engineer says 3 weeks. How do you validate the estimate?</t>
  </si>
  <si>
    <t>Sub-tasks. Identify unknowns. Buffer at integration points.</t>
  </si>
  <si>
    <t>Monolith vs microservices — why does it matter for a TPM?</t>
  </si>
  <si>
    <t>Monolith=simpler. Microservices=more cross-team risk. Plan accordingly.</t>
  </si>
  <si>
    <t>Tech debt is blocking sprint velocity. What do you do?</t>
  </si>
  <si>
    <t>Frame as risk. Quantify cost. Get exec buy-in. Make tradeoff explicit.</t>
  </si>
  <si>
    <t>API contract + breaking change = program risk?</t>
  </si>
  <si>
    <t>Breaking change = all dependents must update. Log as Dependency in RAID.</t>
  </si>
  <si>
    <t>Execution</t>
  </si>
  <si>
    <t>How do you recover a slipping project?</t>
  </si>
  <si>
    <t>Replan. Reprioritize. Escalate.</t>
  </si>
  <si>
    <t>Launch readiness review reveals 15 critical bugs. What do you do?</t>
  </si>
  <si>
    <t>Severity assessment. Go/no-go framework.</t>
  </si>
  <si>
    <t>How do you track action items from meetings?</t>
  </si>
  <si>
    <t>Owner + due date + follow-up.</t>
  </si>
  <si>
    <t>Half the milestones are complete but only 20% of customer value is delivered. Why?</t>
  </si>
  <si>
    <t>Output vs outcome mismatch.</t>
  </si>
  <si>
    <t>How do you manage cross-team dependencies?</t>
  </si>
  <si>
    <t>Owners. Dates. Escalation path.</t>
  </si>
  <si>
    <t>Program is blocked by an external vendor. What do you do?</t>
  </si>
  <si>
    <t>Contingency planning. Escalation.</t>
  </si>
  <si>
    <t>How do you manage multiple projects simultaneously?</t>
  </si>
  <si>
    <t>Prioritization framework.</t>
  </si>
  <si>
    <t>Resource cuts remove 30% of engineering capacity. What changes?</t>
  </si>
  <si>
    <t>Scope reduction. Rebaseline plan.</t>
  </si>
  <si>
    <t>What belongs in a RAID log?</t>
  </si>
  <si>
    <t>Risks, Assumptions, Issues, Dependencies.</t>
  </si>
  <si>
    <t>How do you run a go/no-go launch decision meeting?</t>
  </si>
  <si>
    <t>Criteria-based decision.</t>
  </si>
  <si>
    <t>Stakeholder Management</t>
  </si>
  <si>
    <t>Difficult stakeholder keeps bypassing process. What do you do?</t>
  </si>
  <si>
    <t>Understand motive. Align expectations.</t>
  </si>
  <si>
    <t>VP wants launch. Engineering wants delay. Who wins?</t>
  </si>
  <si>
    <t>Data-driven decision. Risk analysis.</t>
  </si>
  <si>
    <t>How do you build trust with a new team?</t>
  </si>
  <si>
    <t>Listen first. Deliver quickly.</t>
  </si>
  <si>
    <t>Executive disagrees with your recommendation. What next?</t>
  </si>
  <si>
    <t>Present evidence. Align on goals.</t>
  </si>
  <si>
    <t>How do you influence teams without authority?</t>
  </si>
  <si>
    <t>Credibility. Relationships. Data.</t>
  </si>
  <si>
    <t>Two directors disagree publicly. What do you do?</t>
  </si>
  <si>
    <t>Reframe around business outcomes.</t>
  </si>
  <si>
    <t>How do you handle an unresponsive stakeholder?</t>
  </si>
  <si>
    <t>Escalation path. Clear deadlines.</t>
  </si>
  <si>
    <t>Product wants features. Engineering wants stability. Resolve it.</t>
  </si>
  <si>
    <t>Explicit tradeoffs. Shared goals.</t>
  </si>
  <si>
    <t>Behavioral</t>
  </si>
  <si>
    <t>Tell me about driving alignment across disagreeing teams.</t>
  </si>
  <si>
    <t>SALLY API conflict STAR: Situation → Action → Outcome + metric.</t>
  </si>
  <si>
    <t>Project was at serious risk. How did you handle it?</t>
  </si>
  <si>
    <t>Harmonize story. What you spotted, did, changed. Include timeline metric.</t>
  </si>
  <si>
    <t>Tell me about influencing without authority.</t>
  </si>
  <si>
    <t>Manager absence coverage. THIS is the TPM condition.</t>
  </si>
  <si>
    <t>Push back on leadership?</t>
  </si>
  <si>
    <t>Had data, raised professionally, outcome was better (or handled gracefully).</t>
  </si>
  <si>
    <t>Deliver bad news to a stakeholder?</t>
  </si>
  <si>
    <t>Early, direct, with mitigation plan. Never let leadership be surprised.</t>
  </si>
  <si>
    <t>Tell me about mentoring someone.</t>
  </si>
  <si>
    <t>Junior dev story: 0→independent in X weeks. Timeline metric.</t>
  </si>
  <si>
    <t>Tell me about your biggest failure.</t>
  </si>
  <si>
    <t>Ownership + learning.</t>
  </si>
  <si>
    <t>Tell me about handling ambiguity.</t>
  </si>
  <si>
    <t>Create structure.</t>
  </si>
  <si>
    <t>Tell me about a time you missed a deadline.</t>
  </si>
  <si>
    <t>Accountability. Recovery.</t>
  </si>
  <si>
    <t>Tell me about a difficult stakeholder.</t>
  </si>
  <si>
    <t>Relationship management.</t>
  </si>
  <si>
    <t>Tell me about a conflict with an engineer.</t>
  </si>
  <si>
    <t>Respect + resolution.</t>
  </si>
  <si>
    <t>Tell me about improving a process.</t>
  </si>
  <si>
    <t>Before/after metrics.</t>
  </si>
  <si>
    <t>Tell me about making a decision with incomplete data.</t>
  </si>
  <si>
    <t>Assumptions + mitigation.</t>
  </si>
  <si>
    <t>Tell me about leading during a crisis.</t>
  </si>
  <si>
    <t>Structure under pressure.</t>
  </si>
  <si>
    <t>System Design</t>
  </si>
  <si>
    <t>Design a URL shortener from a TPM perspective.</t>
  </si>
  <si>
    <t>Requirements, risks, milestones.</t>
  </si>
  <si>
    <t>Design UPI payments system at scale.</t>
  </si>
  <si>
    <t>Availability. Fraud. Scale.</t>
  </si>
  <si>
    <t>Design notification service.</t>
  </si>
  <si>
    <t>Functional + non-functional requirements.</t>
  </si>
  <si>
    <t>Design ride-sharing platform.</t>
  </si>
  <si>
    <t>Matching. Latency. Availability.</t>
  </si>
  <si>
    <t>Design real-time chat system.</t>
  </si>
  <si>
    <t>Scale. Delivery guarantees.</t>
  </si>
  <si>
    <t>Design file storage service.</t>
  </si>
  <si>
    <t>Durability. Replication.</t>
  </si>
  <si>
    <t>Case Study</t>
  </si>
  <si>
    <t>UPI payments, 5 teams, 3 months. Walk through it.</t>
  </si>
  <si>
    <t>Clarify → Charter → Dep map → RAID → Timeline → Comms → Escalation.</t>
  </si>
  <si>
    <t>Team keeps missing sprint commitments. What do you do?</t>
  </si>
  <si>
    <t>Diagnose first. Never prescribe before diagnosis.</t>
  </si>
  <si>
    <t>Set up TPM OS from scratch for a 3-team startup?</t>
  </si>
  <si>
    <t>Start lean: RAID + standup + RAG. Add complexity as team grows.</t>
  </si>
  <si>
    <t>Two workstreams, conflicting launch dates?</t>
  </si>
  <si>
    <t>Map dependency. Find critical path. Escalate with recommendation.</t>
  </si>
  <si>
    <t>Launch WhatsApp Payments in India in 6 months. Walk through it.</t>
  </si>
  <si>
    <t>Charter → Stakeholders → Risks → Rollout.</t>
  </si>
  <si>
    <t>Migrate 50 services to cloud in 9 months. Walk through it.</t>
  </si>
  <si>
    <t>Discovery → Waves → Risks → Metrics.</t>
  </si>
  <si>
    <t>Build internal developer platform for 500 engineers.</t>
  </si>
  <si>
    <t>Adoption strategy critical.</t>
  </si>
  <si>
    <t>Company acquisition. Integrate engineering teams.</t>
  </si>
  <si>
    <t>Org alignment. Dependency mapping.</t>
  </si>
  <si>
    <t>GDPR compliance deadline in 4 months. What do you do?</t>
  </si>
  <si>
    <t>Regulatory risk program.</t>
  </si>
  <si>
    <t>Launch AI chatbot across 8 business units.</t>
  </si>
  <si>
    <t>Governance. Security. Rollout.</t>
  </si>
  <si>
    <t>Estimation</t>
  </si>
  <si>
    <t>Estimate timeline: monolith→microservices migration?</t>
  </si>
  <si>
    <t>Phases: API design, parallel build, integration, cutover. Buffer.</t>
  </si>
  <si>
    <t>SALLY backend blocked 5 days — risk exposure?</t>
  </si>
  <si>
    <t>Check critical path. Backend on it = 5 days. If not: cascade check.</t>
  </si>
  <si>
    <t>Hours/week TPM in meetings vs independent work?</t>
  </si>
  <si>
    <t>~40% meetings, 40% program work, 20% blocking/escalating.</t>
  </si>
  <si>
    <t>📚  Keywords &amp; Resources (from v5.md §16)</t>
  </si>
  <si>
    <t>RAID Log</t>
  </si>
  <si>
    <t>Atlassian: 'What is a Technical Program Manager?'</t>
  </si>
  <si>
    <t>RAG Status Report</t>
  </si>
  <si>
    <t>Google PM Certificate — Coursera (audit free)</t>
  </si>
  <si>
    <t>Dependency Tracking</t>
  </si>
  <si>
    <t>Scrum.org: The Scrum Guide (free PDF)</t>
  </si>
  <si>
    <t>YouTube: 'TPM day in the life Google'</t>
  </si>
  <si>
    <t>Glassdoor: TPM reviews at Google, Amazon, Razorpay</t>
  </si>
  <si>
    <t>Critical Path Method</t>
  </si>
  <si>
    <t>Cutshort.io — search 'Technical Program Manager India'</t>
  </si>
  <si>
    <t>Agile / Scrum / SAFe</t>
  </si>
  <si>
    <t>iimjobs.com — Leadership + MBA track roles</t>
  </si>
  <si>
    <t>OKRs</t>
  </si>
  <si>
    <t>Atlassian University — Free Jira + Confluence training</t>
  </si>
  <si>
    <t>Cost of Delay</t>
  </si>
  <si>
    <t>Miro — free dependency mapping + RAID visual</t>
  </si>
  <si>
    <t>PMBOK Guide — free online summaries</t>
  </si>
  <si>
    <t>MoSCoW</t>
  </si>
  <si>
    <t>Lenny's Newsletter: Engineering ↔ PM partnership</t>
  </si>
  <si>
    <t>WSJF</t>
  </si>
  <si>
    <t>Mind the Product: 'What does a TPM actually do?'</t>
  </si>
  <si>
    <t>🛠️  TPM Toolkit Quick Reference (from v5.md §18 — Toolkit Quick Reference)</t>
  </si>
  <si>
    <t>Document</t>
  </si>
  <si>
    <t>When Created</t>
  </si>
  <si>
    <t>Update Cadence</t>
  </si>
  <si>
    <t>Primary Audience</t>
  </si>
  <si>
    <t>Kickoff</t>
  </si>
  <si>
    <t>Once; update on scope change</t>
  </si>
  <si>
    <t>All stakeholders</t>
  </si>
  <si>
    <t>Day 1</t>
  </si>
  <si>
    <t>Every weekly sync</t>
  </si>
  <si>
    <t>TPM + team leads</t>
  </si>
  <si>
    <t>Dependency Tracker</t>
  </si>
  <si>
    <t>Week 1</t>
  </si>
  <si>
    <t>Engineering leads</t>
  </si>
  <si>
    <t>Weekly Status Report</t>
  </si>
  <si>
    <t>Every Friday</t>
  </si>
  <si>
    <t>Risk Register</t>
  </si>
  <si>
    <t>Week 1-2</t>
  </si>
  <si>
    <t>Monthly or on AMBER/RED</t>
  </si>
  <si>
    <t>TPM + leadership</t>
  </si>
  <si>
    <t>Executive 1-Pager</t>
  </si>
  <si>
    <t>Before every leadership review</t>
  </si>
  <si>
    <t>Leadership only</t>
  </si>
  <si>
    <t>🎯  Job Hunt Tracker — Conversion Funnel: Target → Offer</t>
  </si>
  <si>
    <t>🔑  The 8 Questions Every TPM Interviewer Asks (v5.md §19): ① Teams? ② Timeline? ③ Blocker? ④ YOU did? ⑤ Decision? ⑥ Outcome? ⑦ Differently? ⑧ Business impact?</t>
  </si>
  <si>
    <t>🎯 Target</t>
  </si>
  <si>
    <t>📄 Applied</t>
  </si>
  <si>
    <t>📞 Screening</t>
  </si>
  <si>
    <t>🎤 Interview</t>
  </si>
  <si>
    <t>💪 Offer</t>
  </si>
  <si>
    <t>❌ Rejected</t>
  </si>
  <si>
    <t>📊 Conv. Rate</t>
  </si>
  <si>
    <t>📅 Days Since</t>
  </si>
  <si>
    <t>COMPANY</t>
  </si>
  <si>
    <t>ROLE</t>
  </si>
  <si>
    <t>LOCATION</t>
  </si>
  <si>
    <t>SOURCE</t>
  </si>
  <si>
    <t>DATE APPLIED</t>
  </si>
  <si>
    <t>CONTACT / REFERRAL</t>
  </si>
  <si>
    <t>STATUS</t>
  </si>
  <si>
    <t>NEXT ACTION</t>
  </si>
  <si>
    <t>NOTES</t>
  </si>
  <si>
    <t>Days Since</t>
  </si>
  <si>
    <t>Razorpay</t>
  </si>
  <si>
    <t>Technical Program Manager</t>
  </si>
  <si>
    <t>Bangalore/Remote</t>
  </si>
  <si>
    <t>LinkedIn</t>
  </si>
  <si>
    <t>Research HM + InMail</t>
  </si>
  <si>
    <t>Fintech leader. Trading edge applies.</t>
  </si>
  <si>
    <t>PhonePe</t>
  </si>
  <si>
    <t>Sr TPM — Payments Infra</t>
  </si>
  <si>
    <t>Bangalore</t>
  </si>
  <si>
    <t>MBA network contact</t>
  </si>
  <si>
    <t>UPI at scale. TPM roles quarterly.</t>
  </si>
  <si>
    <t>Groww</t>
  </si>
  <si>
    <t>Apply + outreach to PM team</t>
  </si>
  <si>
    <t>Fast fintech. Trading = hiring edge.</t>
  </si>
  <si>
    <t>CRED</t>
  </si>
  <si>
    <t>TPM / Senior TPM</t>
  </si>
  <si>
    <t>Cutshort</t>
  </si>
  <si>
    <t>Research product team</t>
  </si>
  <si>
    <t>Premium B2C. Strong PM culture.</t>
  </si>
  <si>
    <t>JPMorgan Tech India</t>
  </si>
  <si>
    <t>Bangalore/Hyderabad</t>
  </si>
  <si>
    <t>jpmorgan.com/careers</t>
  </si>
  <si>
    <t>Enterprise AI directly relevant.</t>
  </si>
  <si>
    <t>Walmart Global Tech</t>
  </si>
  <si>
    <t>TPgM / Senior TPM</t>
  </si>
  <si>
    <t>walmart.com/careers</t>
  </si>
  <si>
    <t>Enterprise programs. Harmonize maps.</t>
  </si>
  <si>
    <t>Flipkart</t>
  </si>
  <si>
    <t>HM + MBA alumni</t>
  </si>
  <si>
    <t>Referral beats direct app.</t>
  </si>
  <si>
    <t>Target India</t>
  </si>
  <si>
    <t>TPM — Technology</t>
  </si>
  <si>
    <t>target.com</t>
  </si>
  <si>
    <t>Target careers portal</t>
  </si>
  <si>
    <t>US retail + India tech hub.</t>
  </si>
  <si>
    <t>Microsoft India</t>
  </si>
  <si>
    <t>Hyderabad/Bangalore</t>
  </si>
  <si>
    <t>microsoft.com</t>
  </si>
  <si>
    <t>MS careers + referral</t>
  </si>
  <si>
    <t>AI/GenAI from SALLY = edge.</t>
  </si>
  <si>
    <t>Google India</t>
  </si>
  <si>
    <t>Bangalore/Gurgaon</t>
  </si>
  <si>
    <t>careers.google.com</t>
  </si>
  <si>
    <t>Apply + referral aggressively</t>
  </si>
  <si>
    <t>Best brand. 6-8wk process.</t>
  </si>
  <si>
    <t>Zerodha</t>
  </si>
  <si>
    <t>Network</t>
  </si>
  <si>
    <t>Trading community (ORBIS)</t>
  </si>
  <si>
    <t>Domain depth. Lead with this.</t>
  </si>
  <si>
    <t>Upstox</t>
  </si>
  <si>
    <t>TPM — Product Infra</t>
  </si>
  <si>
    <t>Mumbai/Bangalore</t>
  </si>
  <si>
    <t>Open roles + direct apply</t>
  </si>
  <si>
    <t>Growing broking. Trading tech.</t>
  </si>
  <si>
    <t>Juspay</t>
  </si>
  <si>
    <t>Wellfound</t>
  </si>
  <si>
    <t>Wellfound + LinkedIn</t>
  </si>
  <si>
    <t>YC-backed payments infra.</t>
  </si>
  <si>
    <t>Freshworks</t>
  </si>
  <si>
    <t>Chennai/Hybrid</t>
  </si>
  <si>
    <t>Apply + outreach</t>
  </si>
  <si>
    <t>Strong SaaS. MBA advantage.</t>
  </si>
  <si>
    <t>BrowserStack</t>
  </si>
  <si>
    <t>TPM</t>
  </si>
  <si>
    <t>Mumbai/Remote</t>
  </si>
  <si>
    <t>LinkedIn + cold InMail</t>
  </si>
  <si>
    <t>Remote-friendly. More scope.</t>
  </si>
  <si>
    <t>📁  TPgM Portfolio — 5 Anchor Programs + Case Study Templates</t>
  </si>
  <si>
    <t>📋 Programs</t>
  </si>
  <si>
    <t>⬜ Draft Needed</t>
  </si>
  <si>
    <t>✅ Complete</t>
  </si>
  <si>
    <t>PROGRAM</t>
  </si>
  <si>
    <t>TYPE</t>
  </si>
  <si>
    <t>MY TPM ROLE</t>
  </si>
  <si>
    <t>KEY DEPS / RISKS</t>
  </si>
  <si>
    <t>OUTCOME / METRIC</t>
  </si>
  <si>
    <t>SALLY</t>
  </si>
  <si>
    <t>AI / Clinical Trial Supply</t>
  </si>
  <si>
    <t>Cross-functional delivery coordinator — Frontend, Backend, AI/ML, QA, Infra. Enterprise AI clinical trial platform.</t>
  </si>
  <si>
    <t>Client approval timelines. BE↔FE API contract. AI hallucination → fallback UX in RAID.</t>
  </si>
  <si>
    <t>Delivered on schedule. Zero slippage. Weekly RAG to management.</t>
  </si>
  <si>
    <t>Harmonize</t>
  </si>
  <si>
    <t>Cloud Provisioning Automation</t>
  </si>
  <si>
    <t>Program delivery lead (informal) — sprint planning, cross-team deps, client gap resolution, manager absence coverage.</t>
  </si>
  <si>
    <t>Fortune 500 client approval gating. DevOps↔App team sequencing. Cloud provisioning lag.</t>
  </si>
  <si>
    <t>Automation delivered. Client approved. Zero slippage during manager absence.</t>
  </si>
  <si>
    <t>CDL</t>
  </si>
  <si>
    <t>GenAI Data Lineage Platform</t>
  </si>
  <si>
    <t>Technical coordinator — GraphRAG pipeline, Knowledge Graph, D3.js viz across multiple teams.</t>
  </si>
  <si>
    <t>GraphRAG↔KG data contract. Client data schemas. Neo4j perf at enterprise scale.</t>
  </si>
  <si>
    <t>Lineage viz delivered. KG indexed [N] entities.</t>
  </si>
  <si>
    <t>ORBIS</t>
  </si>
  <si>
    <t>NSE/BSE Trading Platform</t>
  </si>
  <si>
    <t>End-to-end delivery (solo) — FastAPI + React + Dhan API. Production trading with live market data.</t>
  </si>
  <si>
    <t>Dhan API rate limits. NSE market hours. SEBI norms. Data freshness → caching.</t>
  </si>
  <si>
    <t>Production trading system. Used for NSE/BSE FnO strategies.</t>
  </si>
  <si>
    <t>Osprey</t>
  </si>
  <si>
    <t>Internal Tool / Enterprise Platform</t>
  </si>
  <si>
    <t>[Fill: coordination role, scope, cross-team actions — frame in TPM language]</t>
  </si>
  <si>
    <t>[Fill: dependencies, risks, mitigations]</t>
  </si>
  <si>
    <t>[Fill: delivery outcome + metric]</t>
  </si>
  <si>
    <t>⚠️  RAID Log Template — Copy per program (from v5.md §18.2)</t>
  </si>
  <si>
    <t>Category</t>
  </si>
  <si>
    <t>ID</t>
  </si>
  <si>
    <t>Owner</t>
  </si>
  <si>
    <t>Likelihood</t>
  </si>
  <si>
    <t>Impact</t>
  </si>
  <si>
    <t>Mitigation / Status</t>
  </si>
  <si>
    <t>Risk Score</t>
  </si>
  <si>
    <t>⚠️ Risk</t>
  </si>
  <si>
    <t>R1</t>
  </si>
  <si>
    <t>Backend API not ready before frontend integration sprint</t>
  </si>
  <si>
    <t>Backend Lead</t>
  </si>
  <si>
    <t>M</t>
  </si>
  <si>
    <t>H</t>
  </si>
  <si>
    <t>Add 3-day buffer in critical path. Escalate if not resolved by [date].</t>
  </si>
  <si>
    <t>📌 Assumption</t>
  </si>
  <si>
    <t>A1</t>
  </si>
  <si>
    <t>Enterprise client will provide test data by Week 3</t>
  </si>
  <si>
    <t>Client PM</t>
  </si>
  <si>
    <t>-</t>
  </si>
  <si>
    <t>Confirm in writing. Add to Risk register if not confirmed by [date].</t>
  </si>
  <si>
    <t>🚨 Issue</t>
  </si>
  <si>
    <t>I1</t>
  </si>
  <si>
    <t>Infra team capacity reduced due to parallel project</t>
  </si>
  <si>
    <t>Infra Lead</t>
  </si>
  <si>
    <t>Escalated to manager. Awaiting resource allocation confirmation.</t>
  </si>
  <si>
    <t>🔗 Dependency</t>
  </si>
  <si>
    <t>QA needs finalized API spec before test planning</t>
  </si>
  <si>
    <t>QA Lead</t>
  </si>
  <si>
    <t>API spec due [date]. If delayed: QA pushed by 1 sprint. On critical path.</t>
  </si>
  <si>
    <t>📋  Program Case Studies — Your Interview Ammunition</t>
  </si>
  <si>
    <t>💡 Fill every [bracket] with real data. These 5-7 page case studies feed your resume bullets, STAR stories, and every interview answer. See v5.md §19 for full context.</t>
  </si>
  <si>
    <t>SALLY PROGRAM — Case Study Shell (v5.md §19.1)</t>
  </si>
  <si>
    <t>Program Name</t>
  </si>
  <si>
    <t>Sally Platform</t>
  </si>
  <si>
    <t>My Role</t>
  </si>
  <si>
    <t>Senior SWE — Cross-functional Delivery Coordinator</t>
  </si>
  <si>
    <t>Duration</t>
  </si>
  <si>
    <t>[Month Year] → [Month Year] — [X] months total</t>
  </si>
  <si>
    <t>Teams Coordinated</t>
  </si>
  <si>
    <t>[e.g. 5: Frontend, Backend, Infra, Database, AI/ML]</t>
  </si>
  <si>
    <t>Engineers</t>
  </si>
  <si>
    <t>[e.g. ~12 engineers total]</t>
  </si>
  <si>
    <t>Outcome</t>
  </si>
  <si>
    <t>[e.g. Delivered on target / 2wk delay recovered / 0 P1 defects]</t>
  </si>
  <si>
    <t>Executive Summary</t>
  </si>
  <si>
    <t>"&gt; The Sally initiative required coordinating [X] workstreams to deliver [capability]..."</t>
  </si>
  <si>
    <t>STAKEHOLDER MAP</t>
  </si>
  <si>
    <t>Stakeholder</t>
  </si>
  <si>
    <t>Role/Team</t>
  </si>
  <si>
    <t>What They Cared About</t>
  </si>
  <si>
    <t>How You Engaged</t>
  </si>
  <si>
    <t>[Business Lead]</t>
  </si>
  <si>
    <t>[Fill]</t>
  </si>
  <si>
    <t>[Eng Manager]</t>
  </si>
  <si>
    <t>[Frontend TL]</t>
  </si>
  <si>
    <t>[Infra Lead]</t>
  </si>
  <si>
    <t>[AI/ML Lead]</t>
  </si>
  <si>
    <t>PROGRAM TIMELINE</t>
  </si>
  <si>
    <t>Phase</t>
  </si>
  <si>
    <t>Target Date</t>
  </si>
  <si>
    <t>Actual Date</t>
  </si>
  <si>
    <t>Notes</t>
  </si>
  <si>
    <t>Kickoff/Planning</t>
  </si>
  <si>
    <t>✅ / 🟡 / 🔴</t>
  </si>
  <si>
    <t>Backend API dev</t>
  </si>
  <si>
    <t>DB/Infra provisioning</t>
  </si>
  <si>
    <t>Frontend integration</t>
  </si>
  <si>
    <t>AI feature integration</t>
  </si>
  <si>
    <t>Testing/QA</t>
  </si>
  <si>
    <t>Production deploy</t>
  </si>
  <si>
    <t>🔴 CHALLENGE 1: Database VM Provisioning Delay</t>
  </si>
  <si>
    <t>What happened</t>
  </si>
  <si>
    <t>What YOU did</t>
  </si>
  <si>
    <t>What you decided</t>
  </si>
  <si>
    <t>🔴 CHALLENGE 2: AI Output Quality / Hallucination</t>
  </si>
  <si>
    <t>KEY DECISIONS YOU MADE</t>
  </si>
  <si>
    <t>Decision</t>
  </si>
  <si>
    <t>Options</t>
  </si>
  <si>
    <t>What You Chose &amp; Why</t>
  </si>
  <si>
    <t>[Proceed with mock APIs or wait?]</t>
  </si>
  <si>
    <t>[Launch with known edge cases?]</t>
  </si>
  <si>
    <t>METRICS &amp; OUTCOMES</t>
  </si>
  <si>
    <t>Delivered on time?</t>
  </si>
  <si>
    <t>[Yes / X days late]</t>
  </si>
  <si>
    <t>Teams coordinated</t>
  </si>
  <si>
    <t>[X]</t>
  </si>
  <si>
    <t>Critical blockers resolved</t>
  </si>
  <si>
    <t>Defects at launch</t>
  </si>
  <si>
    <t>[0 P0 / X P1]</t>
  </si>
  <si>
    <t>Business outcome</t>
  </si>
  <si>
    <t>[Feature shipped / client committed]</t>
  </si>
  <si>
    <t>Lesson 1</t>
  </si>
  <si>
    <t>[I waited too long to escalate. Now: Day 1 trigger.]</t>
  </si>
  <si>
    <t>Lesson 2</t>
  </si>
  <si>
    <t>Lesson 3</t>
  </si>
  <si>
    <t>CDL PROGRAM — Case Study Shell (v5.md §19.2)</t>
  </si>
  <si>
    <t>CDL Platform</t>
  </si>
  <si>
    <t>Technical Lead / Delivery Coordinator</t>
  </si>
  <si>
    <t>[Month Year] → [Month Year]</t>
  </si>
  <si>
    <t>[e.g. 4: Frontend, Backend, QA, Product]</t>
  </si>
  <si>
    <t>Challenge 1</t>
  </si>
  <si>
    <t>[Multi-team speed mismatch — BE ahead of FE, API contract not finalised]</t>
  </si>
  <si>
    <t>[Facilitated joint sync. Mock contract. Unblocked FE.]</t>
  </si>
  <si>
    <t>[Draft API within 48h vs wait for full implementation]</t>
  </si>
  <si>
    <t>[FE resumed in 2 days. Integration risk mitigated.]</t>
  </si>
  <si>
    <t>Challenge 2</t>
  </si>
  <si>
    <t>[Requirement ambiguity — X screens needed rework]</t>
  </si>
  <si>
    <t>[Same-day clarification. Written decision record.]</t>
  </si>
  <si>
    <t>HOW TO USE THESE IN INTERVIEWS — The 3-Layer Answer</t>
  </si>
  <si>
    <t>Layer 1 — Context (30s)</t>
  </si>
  <si>
    <t>"I led delivery coordination for [Sally/CDL] — a [X]-month program involving [X] teams and [~X] engineers. My role was cross-team coordinator and delivery owner without formal authority."</t>
  </si>
  <si>
    <t>Layer 2 — Challenge + Action (60-90s)</t>
  </si>
  <si>
    <t>"The biggest challenge was [Challenge 1]. I [your specific action]. The key decision I made was [your decision]."</t>
  </si>
  <si>
    <t>Layer 3 — Outcome (15s)</t>
  </si>
  <si>
    <t>"The result was [your filled-in metric]. One thing I'd do differently next time is [lesson learned]."</t>
  </si>
  <si>
    <t>🤝  Networking Tracker — 3-5 Requests/Day → 140 Warm Conversations</t>
  </si>
  <si>
    <t>📋 Total</t>
  </si>
  <si>
    <t>🔄 Pending</t>
  </si>
  <si>
    <t>✅ Connected</t>
  </si>
  <si>
    <t>💬 Responded</t>
  </si>
  <si>
    <t>🎯 TPM at target</t>
  </si>
  <si>
    <t>🎓 MBA alumni</t>
  </si>
  <si>
    <t>PERSON</t>
  </si>
  <si>
    <t>CURRENT ROLE</t>
  </si>
  <si>
    <t>CONNECTION TYPE</t>
  </si>
  <si>
    <t>DATE CONNECTED</t>
  </si>
  <si>
    <t>[TPM at Razorpay]</t>
  </si>
  <si>
    <t>TPM at target co.</t>
  </si>
  <si>
    <t>Send Template A + fintech bg</t>
  </si>
  <si>
    <t>ORBIS/Dhan API. Ask their transition story.</t>
  </si>
  <si>
    <t>[TPM at Google India]</t>
  </si>
  <si>
    <t>Google</t>
  </si>
  <si>
    <t>Research profile first</t>
  </si>
  <si>
    <t>Template A. Note something specific.</t>
  </si>
  <si>
    <t>[SWE→TPM]</t>
  </si>
  <si>
    <t>PhonePe/Groww</t>
  </si>
  <si>
    <t>SWE-to-TPM</t>
  </si>
  <si>
    <t>Template B: solidarity</t>
  </si>
  <si>
    <t>Highest response rate.</t>
  </si>
  <si>
    <t>[Recruiter at Flipkart]</t>
  </si>
  <si>
    <t>Technical Recruiter</t>
  </si>
  <si>
    <t>Recruiter</t>
  </si>
  <si>
    <t>Template C: ask openings</t>
  </si>
  <si>
    <t>Direct ask.</t>
  </si>
  <si>
    <t>[MBA batch-mate 1]</t>
  </si>
  <si>
    <t>PM or TPM</t>
  </si>
  <si>
    <t>Target company</t>
  </si>
  <si>
    <t>MBA alumni</t>
  </si>
  <si>
    <t>Reconnect + referral</t>
  </si>
  <si>
    <t>Warm intro = gold.</t>
  </si>
  <si>
    <t>[MBA batch-mate 2]</t>
  </si>
  <si>
    <t>SWE or any</t>
  </si>
  <si>
    <t>Intro to their PM team</t>
  </si>
  <si>
    <t>Batch connection = warm.</t>
  </si>
  <si>
    <t>[LinkedIn TPM post]</t>
  </si>
  <si>
    <t>Senior TPM</t>
  </si>
  <si>
    <t>Mid-stage startup</t>
  </si>
  <si>
    <t>Industry contact</t>
  </si>
  <si>
    <t>Comment + connect</t>
  </si>
  <si>
    <t>Reference their post.</t>
  </si>
  <si>
    <t>[HM at Groww]</t>
  </si>
  <si>
    <t>Eng Mgr / TPM Lead</t>
  </si>
  <si>
    <t>Personalised InMail</t>
  </si>
  <si>
    <t>ORBIS fintech angle.</t>
  </si>
  <si>
    <t>📩  Message Templates — Personalise or Be Ignored (from v5.md §5)</t>
  </si>
  <si>
    <t>Template A — For TPMs (info request, highest warmth)</t>
  </si>
  <si>
    <t>Hi [Name],
I noticed your journey from [bg] to TPM at [Co] — that's the path I'm on. I'm a Sr SWE with 4.5yr, strong cross-team coordination, and 2 AI/GenAI deliveries (SALLY+Harmonize).
Would you have 10 min for a virtual coffee? No ask — just curious about your story.
Thanks — Biren</t>
  </si>
  <si>
    <t>Template B — For TPMs who posted content</t>
  </si>
  <si>
    <t>Hi [Name],
Your post on [topic] clicked — especially [specific point]. I'm SWE→TPM and that framing helped me reframe [X].
Love to connect and learn from your perspective.
— Biren</t>
  </si>
  <si>
    <t>Template C — For Recruiters</t>
  </si>
  <si>
    <t>Hi [Name],
Sr SWE, 4.5yr, transitioning to TPM. Delivered 2 AI/GenAI programs end-to-end (SALLY+Harmonize) as cross-functional delivery coordinator. Actively targeting TPM at [Co].
Is there a TPM opening I should apply to?
Thank you — Biren</t>
  </si>
  <si>
    <t>Template D — Referral Ask (after 1-2 convos)</t>
  </si>
  <si>
    <t>Hi [Name],
Really appreciated our chat — your advice on [X] was genuinely useful.
[Co] has a TPM opening. If you're comfortable, would you refer me? I'll make sure my app is strong first.
No pressure — Biren</t>
  </si>
  <si>
    <t>📋  Planning &amp; Todo — Dynamic Deadline Tracker</t>
  </si>
  <si>
    <t>⚠️ Overdue</t>
  </si>
  <si>
    <t>📊 Progress</t>
  </si>
  <si>
    <t>Todo</t>
  </si>
  <si>
    <t>Deadline</t>
  </si>
  <si>
    <t>Notes / Actions</t>
  </si>
  <si>
    <t>Due Date</t>
  </si>
  <si>
    <t>LinkedIn Headline Update</t>
  </si>
  <si>
    <t>This Week</t>
  </si>
  <si>
    <t>Change to: 'Senior SWE → TPgM | AI/GenAI Delivery | Cross-team Coordination | MBA Candidate'</t>
  </si>
  <si>
    <t>Create Wins Journal</t>
  </si>
  <si>
    <t>Google Doc/Notion. Private. Date|Program|Action|Outcome. 3 entries/wk.</t>
  </si>
  <si>
    <t>Section 18.2. Every risk, assumption, issue, dependency. Share in standup.</t>
  </si>
  <si>
    <t>First RAG Update to Manager</t>
  </si>
  <si>
    <t>Section 18.6. 1-page RAG for SALLY/Harmonize. Save email as evidence.</t>
  </si>
  <si>
    <t>New Naukri Account</t>
  </si>
  <si>
    <t>Week 2</t>
  </si>
  <si>
    <t>TPM headline. Profile visibility. Alerts: 'TPM' + India.</t>
  </si>
  <si>
    <t>Search 'TPM.' Salary ₹15L+. Update bi-weekly.</t>
  </si>
  <si>
    <t>LinkedIn + Naukri + Cutshort + iimjobs alerts. Apply within 72h.</t>
  </si>
  <si>
    <t>LinkedIn Outreach Routine</t>
  </si>
  <si>
    <t>Week 3+</t>
  </si>
  <si>
    <t>3-5 requests/day to TPMs. 140 connections in 4 weeks.</t>
  </si>
  <si>
    <t>Resume Rewrite</t>
  </si>
  <si>
    <t>Week 4</t>
  </si>
  <si>
    <t>TPM language. STAR-P. 1 page. Save v1/v2/v3 per tier.</t>
  </si>
  <si>
    <t>Target Company List</t>
  </si>
  <si>
    <t>Week 8</t>
  </si>
  <si>
    <t>20 targets. TPM team, HM, Glassdoor reviews. Log in Job Hunt.</t>
  </si>
  <si>
    <t>Portfolio PDF</t>
  </si>
  <si>
    <t>Week 6</t>
  </si>
  <si>
    <t>SALLY+Harmonize cases. LinkedIn Featured. Ready for InMail.</t>
  </si>
  <si>
    <t>MBA Alumni Search</t>
  </si>
  <si>
    <t>Search MBA batch → filter 'TPM'/'PM.' Warm intro = gold.</t>
  </si>
  <si>
    <t>Dependency Tracker for Harmonize</t>
  </si>
  <si>
    <t>Week 3</t>
  </si>
  <si>
    <t>Miro/draw.io. Share as living doc.</t>
  </si>
  <si>
    <t>iimjobs.com Profile</t>
  </si>
  <si>
    <t>MBA + Leadership + Tech roles. Alerts: PM/TPM.</t>
  </si>
  <si>
    <t>🎯  Target Company Tiers (from v5.md §6)</t>
  </si>
  <si>
    <t>Tier 1 — Big Tech (₹20-30 LPA)</t>
  </si>
  <si>
    <t>Flipkart, Walmart Global Tech, Target India, JPMorgan Tech India, Microsoft India, Google India, Amazon India, Uber India</t>
  </si>
  <si>
    <t>Tier 2 — Fintech / SaaS (₹18-25 LPA, fastest)</t>
  </si>
  <si>
    <t>Razorpay, PhonePe, Groww, CRED, Zerodha, Upstox, Juspay, BrowserStack, Freshworks, CleverTap</t>
  </si>
  <si>
    <t>Tier 3 — Startups / Remote (after 6mo TPM)</t>
  </si>
  <si>
    <t>Meesho, Delhivery, Nykaa, Swiggy, OYO, Setu, YC-backed startups, Global via Toptal</t>
  </si>
  <si>
    <t>📌  Application Platform Strategy (from v5.md §6)</t>
  </si>
  <si>
    <t>LinkedIn Jobs (Primary)</t>
  </si>
  <si>
    <t>Most TPM roles here. Apply + message recruiter same day = 2× callback rate.</t>
  </si>
  <si>
    <t>Naukri.com</t>
  </si>
  <si>
    <t>India-specific. Full profile. Alerts: 'TPM' + India. Update bi-weekly.</t>
  </si>
  <si>
    <t>Cutshort.io</t>
  </si>
  <si>
    <t>Indian product/startup TPM. Salary ₹15L+. Update bi-weekly.</t>
  </si>
  <si>
    <t>iimjobs.com</t>
  </si>
  <si>
    <t>MBA + leadership. Your MBA gets extra weight here.</t>
  </si>
  <si>
    <t>Wellfound (AngelList)</t>
  </si>
  <si>
    <t>Startup TPM. YC-backed. Salary shown upfront.</t>
  </si>
  <si>
    <t>Company careers pages</t>
  </si>
  <si>
    <t>Apply directly. Beats Easy Apply. Within 72h of posting.</t>
  </si>
  <si>
    <t>🏗️  GARAGE — Extended Content, Deep Dives &amp; Playbook Excerpts</t>
  </si>
  <si>
    <t>📚 MONTH 1 — What a TPM Actually Does (v5.md §2)</t>
  </si>
  <si>
    <t>Week 1-2: Study (2h/day)
→ Atlassian: 'What is a TPM?'
→ YouTube: 'TPM day in the life Google'
→ Glassdoor: 10+ TPM reviews at Google, Amazon, Razorpay
→ Read 5 TPM JDs daily — note keywords
→ Goal: 1-pg 'What a TPM does and why I'm a fit'
Week 3-4: Frameworks
→ Scrum Guide (14pgs)
→ OKR for SALLY
→ RACI for SALLY
→ RAID for SALLY
→ Tools: Jira, Confluence, Notion, Miro, Google Sheets
→ Free: Google PM Cert (Coursera audit), Atlassian U</t>
  </si>
  <si>
    <t>📚 MONTH 2 — Build Artifacts &amp; Network (v5.md §2)</t>
  </si>
  <si>
    <t>Week 5-6: Portfolio Creation
→ Artifact 1 — SALLY: scope, role, outcomes, RAID language
→ Artifact 2 — Harmonize: enterprise client coordination
→ Artifact 3 — Manager Absence as Program
→ Artifact 4 — Junior Dev Mentoring as Program
Week 7-8: Network
→ RAID 4+ wks → Export PDF (evidence)
→ Dependency Tracker → screenshot for portfolio
→ Lessons learned doc
→ LinkedIn: 3-5 requests/day</t>
  </si>
  <si>
    <t>📚 MONTH 3 — Apply, Practice, Submit (v5.md §2)</t>
  </si>
  <si>
    <t>Go-Live Checklist:
✅ Resume final (ATS, 1pg, TPM language)
✅ LinkedIn fully updated (headline→Featured)
✅ 20 cold outreach messages
✅ 30+ jobs applied
✅ 10 interview Qs on camera
✅ 5 STAR stories memorised
✅ RAID 8+ weeks running
✅ 2+ Executive Updates sent
✅ Wins Journal 10+ entries
✅ 'I'm already doing TPM work — I'm here for the title.'</t>
  </si>
  <si>
    <t>💰 FINTECH TPM — Your Unfair Advantage (v5.md §6, Garage)</t>
  </si>
  <si>
    <t>ORBIS, VCP scanner, backtesters, Dhan API, NSE/BSE tools = genuine fintech depth.
Positioning:
→ LinkedIn: 'TPgM with fintech domain — payments, trading, broker APIs'
→ InMail: 'Built production trading systems — understand broker API constraints, SEBI timelines'
Interview:
→ ORBIS as program case: external deps, market hours, rollback risk
→ Fintech risks: regulatory timelines, gateway SLAs, API rate limits
Priority: Zerodha, Upstox, Groww, Razorpay, PhonePe, Juspay</t>
  </si>
  <si>
    <t>🎓 MBA LEVERAGE STRATEGY (v5.md §5A)</t>
  </si>
  <si>
    <t>Your MBA is an active tool.
Networking:
→ Batch-mates in PM/TPM = highest-conversion referrals
→ Alumni at Razorpay, Freshworks, PhonePe, Walmart
→ Career services: placement partnerships
Portfolio:
→ MBA coursework = multi-stakeholder programs
→ Electives: Ops Mgmt, Project Mgmt, Tech Strategy
→ Capstone: align to tech program management
Interviews:
→ 'One framework from my MBA...' signals business thinking
→ 'Deliberate transition: MBA + portfolio + 4.5yrs = Sr TPM in 12mo'</t>
  </si>
  <si>
    <t>🔥 CRITICAL SUCCESS FACTORS (v5.md §Critical)</t>
  </si>
  <si>
    <t>STRENGTHS (use aggressively):
1. 4.5yr engineering foundation
2. Modern AI/GenAI delivery (SALLY, CDL) — rare 2026 differentiator
3. Complex program ownership (multi-team, multi-dependency)
4. Communication + Conflict resolution 8-9/10
5. Enterprise software (Fortune 500-adjacent)
6. Leadership (mentoring, cross-team, manager absence)
7. MBA ongoing
8. Fintech depth (ORBIS, NSE FnO, Dhan API)
WEAKNESSES (fix by Month 3):
1. No formal TPM title → portfolio + reframed experience
2. Public speaking 4/10 → record + present daily
3. Limited exec exposure → address in interviews
4. Service company perception → scripted response ready
5. 2× salary jump → scripted response ready</t>
  </si>
  <si>
    <t>🗓️ WEEK-BY-WEEK SPRINT (v5.md §Final)</t>
  </si>
  <si>
    <t>W1-2: LinkedIn, Scrum Guide, RAID log, 1st Exec Update, Wins Journal
W3-4: LinkedIn complete, resume rewrite, portfolio 1+2, 10 outreach msgs
W5-6: Resume final, 30 outreach, first 10 job apps, 5 interview Qs recorded
W7-8: 20 apps, 5 STAR stories fluent, 2 LinkedIn recs, RAID as PDF
W9-10: 30 apps, 1st mock interview, case study framework
W11-12: 40 apps, 3-5 interviews, salary script ready, RAID 10+ wks 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</si>
</sst>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D-MMM-YYYY"/>
  </numFmts>
  <fonts count="28">
    <font>
      <sz val="11.0"/>
      <color theme="1"/>
      <name val="Arial"/>
      <scheme val="minor"/>
    </font>
    <font>
      <b/>
      <sz val="18.0"/>
      <color rgb="FF1F4E79"/>
      <name val="Calibri"/>
    </font>
    <font>
      <b/>
      <sz val="9.0"/>
      <color rgb="FF636E72"/>
      <name val="Calibri"/>
    </font>
    <font/>
    <font>
      <sz val="8.0"/>
      <color rgb="FF7F8C8D"/>
      <name val="Calibri"/>
    </font>
    <font>
      <b/>
      <sz val="14.0"/>
      <color rgb="FF1F4E79"/>
      <name val="Calibri"/>
    </font>
    <font>
      <b/>
      <sz val="11.0"/>
      <color rgb="FFFFFFFF"/>
      <name val="Calibri"/>
    </font>
    <font>
      <sz val="10.0"/>
      <color rgb="FF2D3436"/>
      <name val="Calibri"/>
    </font>
    <font>
      <b/>
      <sz val="10.0"/>
      <color rgb="FF2D3436"/>
      <name val="Calibri"/>
    </font>
    <font>
      <b/>
      <sz val="16.0"/>
      <color rgb="FF1F4E79"/>
      <name val="Calibri"/>
    </font>
    <font>
      <b/>
      <sz val="10.0"/>
      <color rgb="FFC00000"/>
      <name val="Calibri"/>
    </font>
    <font>
      <b/>
      <sz val="10.0"/>
      <color rgb="FFC00000"/>
      <name val="Arial"/>
      <scheme val="minor"/>
    </font>
    <font>
      <b/>
      <sz val="11.0"/>
      <color rgb="FF2E75B6"/>
      <name val="Arial"/>
      <scheme val="minor"/>
    </font>
    <font>
      <color theme="1"/>
      <name val="Arial"/>
      <scheme val="minor"/>
    </font>
    <font>
      <b/>
      <sz val="9.0"/>
      <color rgb="FF1F4E79"/>
      <name val="Calibri"/>
    </font>
    <font>
      <sz val="8.0"/>
      <color rgb="FF7F8C8D"/>
      <name val="Arial"/>
      <scheme val="minor"/>
    </font>
    <font>
      <b/>
      <sz val="11.0"/>
      <color rgb="FFBF8F00"/>
      <name val="Arial"/>
      <scheme val="minor"/>
    </font>
    <font>
      <b/>
      <sz val="10.0"/>
      <color rgb="FFFFFFFF"/>
      <name val="Calibri"/>
    </font>
    <font>
      <sz val="11.0"/>
      <color theme="1"/>
      <name val="Calibri"/>
    </font>
    <font>
      <i/>
      <sz val="9.0"/>
      <color rgb="FF636E72"/>
      <name val="Arial"/>
      <scheme val="minor"/>
    </font>
    <font>
      <b/>
      <sz val="11.0"/>
      <color rgb="FF1F4E79"/>
      <name val="Arial"/>
      <scheme val="minor"/>
    </font>
    <font>
      <b/>
      <sz val="11.0"/>
      <color rgb="FFC00000"/>
      <name val="Arial"/>
      <scheme val="minor"/>
    </font>
    <font>
      <b/>
      <sz val="11.0"/>
      <color rgb="FF7030A0"/>
      <name val="Arial"/>
      <scheme val="minor"/>
    </font>
    <font>
      <b/>
      <sz val="11.0"/>
      <color rgb="FF548235"/>
      <name val="Arial"/>
      <scheme val="minor"/>
    </font>
    <font>
      <i/>
      <sz val="10.0"/>
      <color rgb="FF2D3436"/>
      <name val="Calibri"/>
    </font>
    <font>
      <b/>
      <sz val="11.0"/>
      <color rgb="FF00B050"/>
      <name val="Arial"/>
      <scheme val="minor"/>
    </font>
    <font>
      <b/>
      <sz val="10.0"/>
      <color rgb="FF00B050"/>
      <name val="Arial"/>
      <scheme val="minor"/>
    </font>
    <font>
      <sz val="9.0"/>
      <color rgb="FF2D3436"/>
      <name val="Consolas"/>
    </font>
  </fonts>
  <fills count="18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EBF5FB"/>
        <bgColor rgb="FFEBF5FB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8F9FA"/>
        <bgColor rgb="FFF8F9FA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8D1E8"/>
        <bgColor rgb="FFE8D1E8"/>
      </patternFill>
    </fill>
    <fill>
      <patternFill patternType="solid">
        <fgColor rgb="FFF2DCDB"/>
        <bgColor rgb="FFF2DCDB"/>
      </patternFill>
    </fill>
    <fill>
      <patternFill patternType="solid">
        <fgColor rgb="FFFFEB9C"/>
        <bgColor rgb="FFFFEB9C"/>
      </patternFill>
    </fill>
    <fill>
      <patternFill patternType="solid">
        <fgColor rgb="FFFFF8E1"/>
        <bgColor rgb="FFFFF8E1"/>
      </patternFill>
    </fill>
    <fill>
      <patternFill patternType="solid">
        <fgColor rgb="FFBF8F00"/>
        <bgColor rgb="FFBF8F00"/>
      </patternFill>
    </fill>
    <fill>
      <patternFill patternType="solid">
        <fgColor rgb="FFF3E8FA"/>
        <bgColor rgb="FFF3E8FA"/>
      </patternFill>
    </fill>
  </fills>
  <borders count="7">
    <border/>
    <border>
      <left/>
      <top/>
      <bottom style="thin">
        <color rgb="FF1F4E79"/>
      </bottom>
    </border>
    <border>
      <right/>
      <top/>
      <bottom style="thin">
        <color rgb="FF1F4E79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right" vertical="center"/>
    </xf>
    <xf borderId="2" fillId="0" fontId="3" numFmtId="0" xfId="0" applyBorder="1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5" fontId="7" numFmtId="0" xfId="0" applyAlignment="1" applyBorder="1" applyFont="1">
      <alignment horizontal="left" readingOrder="0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ont="1">
      <alignment horizontal="left" shrinkToFit="0" vertical="center" wrapText="1"/>
    </xf>
    <xf borderId="3" fillId="8" fontId="8" numFmtId="0" xfId="0" applyAlignment="1" applyBorder="1" applyFill="1" applyFont="1">
      <alignment horizontal="left" shrinkToFit="0" vertical="center" wrapText="1"/>
    </xf>
    <xf borderId="3" fillId="9" fontId="8" numFmtId="0" xfId="0" applyAlignment="1" applyBorder="1" applyFill="1" applyFont="1">
      <alignment horizontal="left" shrinkToFit="0" vertical="center" wrapText="1"/>
    </xf>
    <xf borderId="3" fillId="10" fontId="8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horizontal="left" shrinkToFit="0" vertical="center" wrapText="1"/>
    </xf>
    <xf borderId="3" fillId="12" fontId="8" numFmtId="0" xfId="0" applyAlignment="1" applyBorder="1" applyFill="1" applyFont="1">
      <alignment horizontal="left" shrinkToFit="0" vertical="center" wrapText="1"/>
    </xf>
    <xf borderId="3" fillId="13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4" fillId="14" fontId="10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3" fillId="15" fontId="11" numFmtId="0" xfId="0" applyAlignment="1" applyBorder="1" applyFill="1" applyFont="1">
      <alignment horizontal="center" shrinkToFit="0" vertical="center" wrapText="1"/>
    </xf>
    <xf borderId="4" fillId="15" fontId="8" numFmtId="0" xfId="0" applyBorder="1" applyFont="1"/>
    <xf borderId="4" fillId="15" fontId="7" numFmtId="0" xfId="0" applyBorder="1" applyFont="1"/>
    <xf borderId="0" fillId="0" fontId="12" numFmtId="0" xfId="0" applyFont="1"/>
    <xf borderId="3" fillId="0" fontId="8" numFmtId="0" xfId="0" applyBorder="1" applyFont="1"/>
    <xf borderId="4" fillId="0" fontId="7" numFmtId="0" xfId="0" applyBorder="1" applyFont="1"/>
    <xf borderId="3" fillId="7" fontId="8" numFmtId="0" xfId="0" applyBorder="1" applyFont="1"/>
    <xf borderId="4" fillId="7" fontId="7" numFmtId="0" xfId="0" applyBorder="1" applyFont="1"/>
    <xf borderId="0" fillId="0" fontId="13" numFmtId="0" xfId="0" applyFont="1"/>
    <xf borderId="4" fillId="15" fontId="14" numFmtId="0" xfId="0" applyAlignment="1" applyBorder="1" applyFont="1">
      <alignment horizontal="left" shrinkToFit="0" vertical="center" wrapText="1"/>
    </xf>
    <xf borderId="3" fillId="3" fontId="15" numFmtId="0" xfId="0" applyAlignment="1" applyBorder="1" applyFont="1">
      <alignment horizontal="center" shrinkToFit="0" vertical="center" wrapText="1"/>
    </xf>
    <xf borderId="3" fillId="5" fontId="7" numFmtId="164" xfId="0" applyAlignment="1" applyBorder="1" applyFont="1" applyNumberFormat="1">
      <alignment horizontal="left" shrinkToFit="0" vertical="center" wrapText="1"/>
    </xf>
    <xf borderId="3" fillId="7" fontId="7" numFmtId="164" xfId="0" applyAlignment="1" applyBorder="1" applyFont="1" applyNumberFormat="1">
      <alignment horizontal="left" shrinkToFit="0" vertical="center" wrapText="1"/>
    </xf>
    <xf borderId="0" fillId="0" fontId="16" numFmtId="0" xfId="0" applyFont="1"/>
    <xf borderId="3" fillId="16" fontId="17" numFmtId="0" xfId="0" applyAlignment="1" applyBorder="1" applyFill="1" applyFont="1">
      <alignment horizontal="center" shrinkToFit="0" vertical="center" wrapText="1"/>
    </xf>
    <xf borderId="0" fillId="5" fontId="7" numFmtId="0" xfId="0" applyFont="1"/>
    <xf borderId="5" fillId="0" fontId="18" numFmtId="0" xfId="0" applyBorder="1" applyFont="1"/>
    <xf borderId="6" fillId="0" fontId="18" numFmtId="0" xfId="0" applyBorder="1" applyFont="1"/>
    <xf borderId="0" fillId="0" fontId="19" numFmtId="0" xfId="0" applyAlignment="1" applyFont="1">
      <alignment horizontal="left" shrinkToFit="0" vertical="center" wrapText="1"/>
    </xf>
    <xf borderId="4" fillId="0" fontId="20" numFmtId="0" xfId="0" applyBorder="1" applyFont="1"/>
    <xf borderId="3" fillId="0" fontId="7" numFmtId="0" xfId="0" applyBorder="1" applyFont="1"/>
    <xf borderId="4" fillId="0" fontId="21" numFmtId="0" xfId="0" applyBorder="1" applyFont="1"/>
    <xf borderId="4" fillId="0" fontId="22" numFmtId="0" xfId="0" applyBorder="1" applyFont="1"/>
    <xf borderId="3" fillId="17" fontId="8" numFmtId="0" xfId="0" applyBorder="1" applyFill="1" applyFont="1"/>
    <xf borderId="4" fillId="17" fontId="7" numFmtId="0" xfId="0" applyBorder="1" applyFont="1"/>
    <xf borderId="4" fillId="0" fontId="23" numFmtId="0" xfId="0" applyBorder="1" applyFont="1"/>
    <xf borderId="4" fillId="0" fontId="24" numFmtId="0" xfId="0" applyAlignment="1" applyBorder="1" applyFont="1">
      <alignment horizontal="left" shrinkToFit="0" vertical="center" wrapText="1"/>
    </xf>
    <xf borderId="0" fillId="0" fontId="25" numFmtId="0" xfId="0" applyFont="1"/>
    <xf borderId="0" fillId="0" fontId="26" numFmtId="0" xfId="0" applyFont="1"/>
    <xf borderId="4" fillId="0" fontId="7" numFmtId="0" xfId="0" applyAlignment="1" applyBorder="1" applyFont="1">
      <alignment shrinkToFit="0" vertical="top" wrapText="1"/>
    </xf>
    <xf borderId="0" fillId="0" fontId="23" numFmtId="0" xfId="0" applyFont="1"/>
    <xf borderId="4" fillId="0" fontId="18" numFmtId="0" xfId="0" applyAlignment="1" applyBorder="1" applyFont="1">
      <alignment horizontal="left" shrinkToFit="0" vertical="center" wrapText="1"/>
    </xf>
    <xf borderId="4" fillId="17" fontId="22" numFmtId="0" xfId="0" applyBorder="1" applyFont="1"/>
    <xf borderId="4" fillId="0" fontId="27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 outlineLevelRow="1"/>
  <cols>
    <col customWidth="1" min="1" max="1" width="6.13"/>
    <col customWidth="1" min="2" max="2" width="4.38"/>
    <col customWidth="1" min="3" max="3" width="10.5"/>
    <col customWidth="1" min="4" max="4" width="35.0"/>
    <col customWidth="1" min="5" max="5" width="50.75"/>
    <col customWidth="1" min="6" max="6" width="42.0"/>
    <col customWidth="1" min="7" max="7" width="14.0"/>
    <col customWidth="1" min="8" max="26" width="7.63"/>
  </cols>
  <sheetData>
    <row r="1" ht="36.0" customHeight="1">
      <c r="A1" s="1" t="s">
        <v>0</v>
      </c>
    </row>
    <row r="2">
      <c r="A2" s="2" t="s">
        <v>1</v>
      </c>
      <c r="B2" s="3"/>
      <c r="C2" s="2" t="s">
        <v>2</v>
      </c>
      <c r="D2" s="3"/>
      <c r="E2" s="2" t="s">
        <v>3</v>
      </c>
      <c r="F2" s="3"/>
    </row>
    <row r="3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ht="21.75" customHeight="1">
      <c r="A4" s="5">
        <f>COUNTA(G7:G93)-COUNTIF(G7:G93,"")</f>
        <v>39</v>
      </c>
      <c r="B4" s="5">
        <f>COUNTIF(G7:G93,"Done")</f>
        <v>1</v>
      </c>
      <c r="C4" s="5" t="str">
        <f>IFERROR(ROUND(B4/A4*100,0)&amp;"%","0%")</f>
        <v>3%</v>
      </c>
      <c r="D4" s="5">
        <f>COUNTIF(G7:G93,"In Progress")</f>
        <v>0</v>
      </c>
      <c r="E4" s="5">
        <f>COUNTIF(G7:G93,"⬜ Pending")</f>
        <v>62</v>
      </c>
      <c r="F4" s="5">
        <f>COUNTIF(A7:A93,$F$2)</f>
        <v>0</v>
      </c>
    </row>
    <row r="5" ht="1.5" customHeight="1"/>
    <row r="6" ht="27.75" customHeight="1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outlineLevel="1">
      <c r="A7" s="7" t="s">
        <v>17</v>
      </c>
      <c r="B7" s="8" t="s">
        <v>18</v>
      </c>
      <c r="C7" s="9" t="s">
        <v>19</v>
      </c>
      <c r="D7" s="8" t="s">
        <v>20</v>
      </c>
      <c r="E7" s="8" t="s">
        <v>21</v>
      </c>
      <c r="F7" s="8" t="s">
        <v>22</v>
      </c>
      <c r="G7" s="10" t="s">
        <v>23</v>
      </c>
    </row>
    <row r="8" outlineLevel="1">
      <c r="A8" s="11" t="s">
        <v>17</v>
      </c>
      <c r="B8" s="12" t="s">
        <v>24</v>
      </c>
      <c r="C8" s="9" t="s">
        <v>19</v>
      </c>
      <c r="D8" s="12" t="s">
        <v>25</v>
      </c>
      <c r="E8" s="12" t="s">
        <v>26</v>
      </c>
      <c r="F8" s="12" t="s">
        <v>27</v>
      </c>
      <c r="G8" s="12" t="s">
        <v>28</v>
      </c>
    </row>
    <row r="9" outlineLevel="1">
      <c r="A9" s="7" t="s">
        <v>17</v>
      </c>
      <c r="B9" s="8" t="s">
        <v>29</v>
      </c>
      <c r="C9" s="9" t="s">
        <v>19</v>
      </c>
      <c r="D9" s="8" t="s">
        <v>30</v>
      </c>
      <c r="E9" s="8" t="s">
        <v>31</v>
      </c>
      <c r="F9" s="8" t="s">
        <v>32</v>
      </c>
      <c r="G9" s="8" t="s">
        <v>28</v>
      </c>
    </row>
    <row r="10" outlineLevel="1">
      <c r="A10" s="11" t="s">
        <v>17</v>
      </c>
      <c r="B10" s="12" t="s">
        <v>33</v>
      </c>
      <c r="C10" s="13" t="s">
        <v>34</v>
      </c>
      <c r="D10" s="12" t="s">
        <v>35</v>
      </c>
      <c r="E10" s="12" t="s">
        <v>36</v>
      </c>
      <c r="F10" s="12" t="s">
        <v>37</v>
      </c>
      <c r="G10" s="12" t="s">
        <v>28</v>
      </c>
    </row>
    <row r="11" outlineLevel="1">
      <c r="A11" s="7" t="s">
        <v>17</v>
      </c>
      <c r="B11" s="8" t="s">
        <v>38</v>
      </c>
      <c r="C11" s="14" t="s">
        <v>39</v>
      </c>
      <c r="D11" s="8" t="s">
        <v>40</v>
      </c>
      <c r="E11" s="8" t="s">
        <v>41</v>
      </c>
      <c r="F11" s="8" t="s">
        <v>42</v>
      </c>
      <c r="G11" s="8" t="s">
        <v>28</v>
      </c>
    </row>
    <row r="12" outlineLevel="1">
      <c r="A12" s="11" t="s">
        <v>17</v>
      </c>
      <c r="B12" s="12" t="s">
        <v>43</v>
      </c>
      <c r="C12" s="14" t="s">
        <v>39</v>
      </c>
      <c r="D12" s="12" t="s">
        <v>44</v>
      </c>
      <c r="E12" s="12" t="s">
        <v>45</v>
      </c>
      <c r="F12" s="12" t="s">
        <v>46</v>
      </c>
      <c r="G12" s="12" t="s">
        <v>28</v>
      </c>
    </row>
    <row r="13" outlineLevel="1">
      <c r="A13" s="7" t="s">
        <v>17</v>
      </c>
      <c r="B13" s="8" t="s">
        <v>47</v>
      </c>
      <c r="C13" s="14" t="s">
        <v>39</v>
      </c>
      <c r="D13" s="8" t="s">
        <v>48</v>
      </c>
      <c r="E13" s="8" t="s">
        <v>49</v>
      </c>
      <c r="F13" s="8" t="s">
        <v>50</v>
      </c>
      <c r="G13" s="8" t="s">
        <v>28</v>
      </c>
    </row>
    <row r="14" outlineLevel="1">
      <c r="A14" s="11" t="s">
        <v>51</v>
      </c>
      <c r="B14" s="12" t="s">
        <v>18</v>
      </c>
      <c r="C14" s="13" t="s">
        <v>34</v>
      </c>
      <c r="D14" s="12" t="s">
        <v>52</v>
      </c>
      <c r="E14" s="12" t="s">
        <v>53</v>
      </c>
      <c r="F14" s="12" t="s">
        <v>54</v>
      </c>
      <c r="G14" s="12" t="s">
        <v>28</v>
      </c>
    </row>
    <row r="15" outlineLevel="1">
      <c r="A15" s="7" t="s">
        <v>51</v>
      </c>
      <c r="B15" s="8" t="s">
        <v>24</v>
      </c>
      <c r="C15" s="13" t="s">
        <v>34</v>
      </c>
      <c r="D15" s="8" t="s">
        <v>55</v>
      </c>
      <c r="E15" s="8" t="s">
        <v>56</v>
      </c>
      <c r="F15" s="8" t="s">
        <v>57</v>
      </c>
      <c r="G15" s="8" t="s">
        <v>28</v>
      </c>
    </row>
    <row r="16" outlineLevel="1">
      <c r="A16" s="11" t="s">
        <v>51</v>
      </c>
      <c r="B16" s="12" t="s">
        <v>29</v>
      </c>
      <c r="C16" s="13" t="s">
        <v>34</v>
      </c>
      <c r="D16" s="12" t="s">
        <v>58</v>
      </c>
      <c r="E16" s="12" t="s">
        <v>59</v>
      </c>
      <c r="F16" s="12" t="s">
        <v>60</v>
      </c>
      <c r="G16" s="12" t="s">
        <v>28</v>
      </c>
    </row>
    <row r="17" outlineLevel="1">
      <c r="A17" s="7" t="s">
        <v>51</v>
      </c>
      <c r="B17" s="8" t="s">
        <v>33</v>
      </c>
      <c r="C17" s="13" t="s">
        <v>34</v>
      </c>
      <c r="D17" s="8" t="s">
        <v>61</v>
      </c>
      <c r="E17" s="8" t="s">
        <v>62</v>
      </c>
      <c r="F17" s="8" t="s">
        <v>63</v>
      </c>
      <c r="G17" s="8" t="s">
        <v>28</v>
      </c>
    </row>
    <row r="18" outlineLevel="1">
      <c r="A18" s="11" t="s">
        <v>51</v>
      </c>
      <c r="B18" s="12" t="s">
        <v>38</v>
      </c>
      <c r="C18" s="13" t="s">
        <v>34</v>
      </c>
      <c r="D18" s="12" t="s">
        <v>64</v>
      </c>
      <c r="E18" s="12" t="s">
        <v>65</v>
      </c>
      <c r="F18" s="12" t="s">
        <v>66</v>
      </c>
      <c r="G18" s="12" t="s">
        <v>28</v>
      </c>
    </row>
    <row r="19" outlineLevel="1">
      <c r="A19" s="7" t="s">
        <v>51</v>
      </c>
      <c r="B19" s="8" t="s">
        <v>43</v>
      </c>
      <c r="C19" s="13" t="s">
        <v>34</v>
      </c>
      <c r="D19" s="8" t="s">
        <v>67</v>
      </c>
      <c r="E19" s="8" t="s">
        <v>68</v>
      </c>
      <c r="F19" s="8" t="s">
        <v>69</v>
      </c>
      <c r="G19" s="8" t="s">
        <v>28</v>
      </c>
    </row>
    <row r="20" outlineLevel="1">
      <c r="A20" s="11" t="s">
        <v>51</v>
      </c>
      <c r="B20" s="12" t="s">
        <v>47</v>
      </c>
      <c r="C20" s="14" t="s">
        <v>39</v>
      </c>
      <c r="D20" s="12" t="s">
        <v>70</v>
      </c>
      <c r="E20" s="12" t="s">
        <v>71</v>
      </c>
      <c r="F20" s="12" t="s">
        <v>72</v>
      </c>
      <c r="G20" s="12" t="s">
        <v>28</v>
      </c>
    </row>
    <row r="21" ht="15.75" customHeight="1" outlineLevel="1">
      <c r="A21" s="7" t="s">
        <v>51</v>
      </c>
      <c r="B21" s="8" t="s">
        <v>73</v>
      </c>
      <c r="C21" s="14" t="s">
        <v>39</v>
      </c>
      <c r="D21" s="8" t="s">
        <v>74</v>
      </c>
      <c r="E21" s="8" t="s">
        <v>75</v>
      </c>
      <c r="F21" s="8" t="s">
        <v>76</v>
      </c>
      <c r="G21" s="8" t="s">
        <v>28</v>
      </c>
    </row>
    <row r="22" ht="15.75" customHeight="1" outlineLevel="1">
      <c r="A22" s="11" t="s">
        <v>77</v>
      </c>
      <c r="B22" s="12" t="s">
        <v>18</v>
      </c>
      <c r="C22" s="13" t="s">
        <v>34</v>
      </c>
      <c r="D22" s="12" t="s">
        <v>78</v>
      </c>
      <c r="E22" s="12" t="s">
        <v>79</v>
      </c>
      <c r="F22" s="12" t="s">
        <v>80</v>
      </c>
      <c r="G22" s="12" t="s">
        <v>28</v>
      </c>
    </row>
    <row r="23" ht="15.75" customHeight="1" outlineLevel="1">
      <c r="A23" s="7" t="s">
        <v>77</v>
      </c>
      <c r="B23" s="8" t="s">
        <v>24</v>
      </c>
      <c r="C23" s="14" t="s">
        <v>39</v>
      </c>
      <c r="D23" s="8" t="s">
        <v>81</v>
      </c>
      <c r="E23" s="8" t="s">
        <v>82</v>
      </c>
      <c r="F23" s="8" t="s">
        <v>83</v>
      </c>
      <c r="G23" s="8" t="s">
        <v>28</v>
      </c>
    </row>
    <row r="24" ht="15.75" customHeight="1" outlineLevel="1">
      <c r="A24" s="11" t="s">
        <v>77</v>
      </c>
      <c r="B24" s="12" t="s">
        <v>29</v>
      </c>
      <c r="C24" s="13" t="s">
        <v>34</v>
      </c>
      <c r="D24" s="12" t="s">
        <v>84</v>
      </c>
      <c r="E24" s="12" t="s">
        <v>85</v>
      </c>
      <c r="F24" s="12" t="s">
        <v>86</v>
      </c>
      <c r="G24" s="12" t="s">
        <v>28</v>
      </c>
    </row>
    <row r="25" ht="15.75" customHeight="1" outlineLevel="1">
      <c r="A25" s="7" t="s">
        <v>77</v>
      </c>
      <c r="B25" s="8" t="s">
        <v>33</v>
      </c>
      <c r="C25" s="14" t="s">
        <v>39</v>
      </c>
      <c r="D25" s="8" t="s">
        <v>87</v>
      </c>
      <c r="E25" s="8" t="s">
        <v>88</v>
      </c>
      <c r="F25" s="8" t="s">
        <v>89</v>
      </c>
      <c r="G25" s="8" t="s">
        <v>28</v>
      </c>
    </row>
    <row r="26" ht="15.75" customHeight="1" outlineLevel="1">
      <c r="A26" s="11" t="s">
        <v>77</v>
      </c>
      <c r="B26" s="12" t="s">
        <v>38</v>
      </c>
      <c r="C26" s="13" t="s">
        <v>34</v>
      </c>
      <c r="D26" s="12" t="s">
        <v>90</v>
      </c>
      <c r="E26" s="12" t="s">
        <v>91</v>
      </c>
      <c r="F26" s="12" t="s">
        <v>92</v>
      </c>
      <c r="G26" s="12" t="s">
        <v>28</v>
      </c>
    </row>
    <row r="27" ht="15.75" customHeight="1" outlineLevel="1">
      <c r="A27" s="7" t="s">
        <v>77</v>
      </c>
      <c r="B27" s="8" t="s">
        <v>43</v>
      </c>
      <c r="C27" s="13" t="s">
        <v>34</v>
      </c>
      <c r="D27" s="8" t="s">
        <v>93</v>
      </c>
      <c r="E27" s="8" t="s">
        <v>94</v>
      </c>
      <c r="F27" s="8" t="s">
        <v>95</v>
      </c>
      <c r="G27" s="8" t="s">
        <v>28</v>
      </c>
    </row>
    <row r="28" ht="15.75" customHeight="1" outlineLevel="1">
      <c r="A28" s="11" t="s">
        <v>77</v>
      </c>
      <c r="B28" s="12" t="s">
        <v>47</v>
      </c>
      <c r="C28" s="13" t="s">
        <v>34</v>
      </c>
      <c r="D28" s="12" t="s">
        <v>96</v>
      </c>
      <c r="E28" s="12" t="s">
        <v>97</v>
      </c>
      <c r="F28" s="12" t="s">
        <v>98</v>
      </c>
      <c r="G28" s="12" t="s">
        <v>28</v>
      </c>
    </row>
    <row r="29" ht="15.75" customHeight="1" outlineLevel="1">
      <c r="A29" s="7" t="s">
        <v>77</v>
      </c>
      <c r="B29" s="8" t="s">
        <v>73</v>
      </c>
      <c r="C29" s="14" t="s">
        <v>39</v>
      </c>
      <c r="D29" s="8" t="s">
        <v>99</v>
      </c>
      <c r="E29" s="8" t="s">
        <v>100</v>
      </c>
      <c r="F29" s="8" t="s">
        <v>101</v>
      </c>
      <c r="G29" s="8" t="s">
        <v>28</v>
      </c>
    </row>
    <row r="30" ht="15.75" customHeight="1" outlineLevel="1">
      <c r="A30" s="11" t="s">
        <v>102</v>
      </c>
      <c r="B30" s="12" t="s">
        <v>18</v>
      </c>
      <c r="C30" s="13" t="s">
        <v>34</v>
      </c>
      <c r="D30" s="12" t="s">
        <v>103</v>
      </c>
      <c r="E30" s="12" t="s">
        <v>104</v>
      </c>
      <c r="F30" s="12" t="s">
        <v>105</v>
      </c>
      <c r="G30" s="12" t="s">
        <v>28</v>
      </c>
    </row>
    <row r="31" ht="15.75" customHeight="1" outlineLevel="1">
      <c r="A31" s="7" t="s">
        <v>102</v>
      </c>
      <c r="B31" s="8" t="s">
        <v>24</v>
      </c>
      <c r="C31" s="13" t="s">
        <v>34</v>
      </c>
      <c r="D31" s="8" t="s">
        <v>106</v>
      </c>
      <c r="E31" s="8" t="s">
        <v>107</v>
      </c>
      <c r="F31" s="8" t="s">
        <v>108</v>
      </c>
      <c r="G31" s="8" t="s">
        <v>28</v>
      </c>
    </row>
    <row r="32" ht="15.75" customHeight="1" outlineLevel="1">
      <c r="A32" s="11" t="s">
        <v>102</v>
      </c>
      <c r="B32" s="12" t="s">
        <v>29</v>
      </c>
      <c r="C32" s="13" t="s">
        <v>34</v>
      </c>
      <c r="D32" s="12" t="s">
        <v>109</v>
      </c>
      <c r="E32" s="12" t="s">
        <v>110</v>
      </c>
      <c r="F32" s="12" t="s">
        <v>111</v>
      </c>
      <c r="G32" s="12" t="s">
        <v>28</v>
      </c>
    </row>
    <row r="33" ht="15.75" customHeight="1" outlineLevel="1">
      <c r="A33" s="7" t="s">
        <v>102</v>
      </c>
      <c r="B33" s="8" t="s">
        <v>33</v>
      </c>
      <c r="C33" s="14" t="s">
        <v>39</v>
      </c>
      <c r="D33" s="8" t="s">
        <v>112</v>
      </c>
      <c r="E33" s="8" t="s">
        <v>113</v>
      </c>
      <c r="F33" s="8" t="s">
        <v>114</v>
      </c>
      <c r="G33" s="8" t="s">
        <v>28</v>
      </c>
    </row>
    <row r="34" ht="15.75" customHeight="1" outlineLevel="1">
      <c r="A34" s="11" t="s">
        <v>102</v>
      </c>
      <c r="B34" s="12" t="s">
        <v>38</v>
      </c>
      <c r="C34" s="13" t="s">
        <v>34</v>
      </c>
      <c r="D34" s="12" t="s">
        <v>115</v>
      </c>
      <c r="E34" s="12" t="s">
        <v>116</v>
      </c>
      <c r="F34" s="12" t="s">
        <v>117</v>
      </c>
      <c r="G34" s="12" t="s">
        <v>28</v>
      </c>
    </row>
    <row r="35" ht="15.75" customHeight="1" outlineLevel="1">
      <c r="A35" s="7" t="s">
        <v>102</v>
      </c>
      <c r="B35" s="8" t="s">
        <v>43</v>
      </c>
      <c r="C35" s="14" t="s">
        <v>39</v>
      </c>
      <c r="D35" s="8" t="s">
        <v>118</v>
      </c>
      <c r="E35" s="8" t="s">
        <v>119</v>
      </c>
      <c r="F35" s="8" t="s">
        <v>120</v>
      </c>
      <c r="G35" s="8" t="s">
        <v>28</v>
      </c>
    </row>
    <row r="36" ht="15.75" customHeight="1" outlineLevel="1">
      <c r="A36" s="11" t="s">
        <v>102</v>
      </c>
      <c r="B36" s="12" t="s">
        <v>47</v>
      </c>
      <c r="C36" s="13" t="s">
        <v>34</v>
      </c>
      <c r="D36" s="12" t="s">
        <v>121</v>
      </c>
      <c r="E36" s="12" t="s">
        <v>122</v>
      </c>
      <c r="F36" s="12" t="s">
        <v>123</v>
      </c>
      <c r="G36" s="12" t="s">
        <v>28</v>
      </c>
    </row>
    <row r="37" ht="15.75" customHeight="1" outlineLevel="1">
      <c r="A37" s="7" t="s">
        <v>102</v>
      </c>
      <c r="B37" s="8" t="s">
        <v>73</v>
      </c>
      <c r="C37" s="14" t="s">
        <v>39</v>
      </c>
      <c r="D37" s="8" t="s">
        <v>124</v>
      </c>
      <c r="E37" s="8" t="s">
        <v>125</v>
      </c>
      <c r="F37" s="8" t="s">
        <v>126</v>
      </c>
      <c r="G37" s="8" t="s">
        <v>28</v>
      </c>
    </row>
    <row r="38" ht="15.75" customHeight="1" outlineLevel="1">
      <c r="A38" s="11" t="s">
        <v>127</v>
      </c>
      <c r="B38" s="12" t="s">
        <v>18</v>
      </c>
      <c r="C38" s="13" t="s">
        <v>34</v>
      </c>
      <c r="D38" s="12" t="s">
        <v>128</v>
      </c>
      <c r="E38" s="12" t="s">
        <v>129</v>
      </c>
      <c r="F38" s="12" t="s">
        <v>130</v>
      </c>
      <c r="G38" s="12" t="s">
        <v>28</v>
      </c>
    </row>
    <row r="39" ht="15.75" customHeight="1" outlineLevel="1">
      <c r="A39" s="7" t="s">
        <v>127</v>
      </c>
      <c r="B39" s="8" t="s">
        <v>24</v>
      </c>
      <c r="C39" s="14" t="s">
        <v>39</v>
      </c>
      <c r="D39" s="8" t="s">
        <v>131</v>
      </c>
      <c r="E39" s="8" t="s">
        <v>132</v>
      </c>
      <c r="F39" s="8" t="s">
        <v>133</v>
      </c>
      <c r="G39" s="8" t="s">
        <v>28</v>
      </c>
    </row>
    <row r="40" ht="15.75" customHeight="1" outlineLevel="1">
      <c r="A40" s="11" t="s">
        <v>127</v>
      </c>
      <c r="B40" s="12" t="s">
        <v>29</v>
      </c>
      <c r="C40" s="13" t="s">
        <v>34</v>
      </c>
      <c r="D40" s="12" t="s">
        <v>134</v>
      </c>
      <c r="E40" s="12" t="s">
        <v>135</v>
      </c>
      <c r="F40" s="12" t="s">
        <v>136</v>
      </c>
      <c r="G40" s="12" t="s">
        <v>28</v>
      </c>
    </row>
    <row r="41" ht="15.75" customHeight="1" outlineLevel="1">
      <c r="A41" s="7" t="s">
        <v>127</v>
      </c>
      <c r="B41" s="8" t="s">
        <v>33</v>
      </c>
      <c r="C41" s="14" t="s">
        <v>39</v>
      </c>
      <c r="D41" s="8" t="s">
        <v>137</v>
      </c>
      <c r="E41" s="8" t="s">
        <v>138</v>
      </c>
      <c r="F41" s="8" t="s">
        <v>139</v>
      </c>
      <c r="G41" s="8" t="s">
        <v>28</v>
      </c>
    </row>
    <row r="42" ht="15.75" customHeight="1" outlineLevel="1">
      <c r="A42" s="11" t="s">
        <v>127</v>
      </c>
      <c r="B42" s="12" t="s">
        <v>38</v>
      </c>
      <c r="C42" s="13" t="s">
        <v>34</v>
      </c>
      <c r="D42" s="12" t="s">
        <v>140</v>
      </c>
      <c r="E42" s="12" t="s">
        <v>141</v>
      </c>
      <c r="F42" s="12" t="s">
        <v>142</v>
      </c>
      <c r="G42" s="12" t="s">
        <v>28</v>
      </c>
    </row>
    <row r="43" ht="15.75" customHeight="1" outlineLevel="1">
      <c r="A43" s="7" t="s">
        <v>127</v>
      </c>
      <c r="B43" s="8" t="s">
        <v>43</v>
      </c>
      <c r="C43" s="13" t="s">
        <v>34</v>
      </c>
      <c r="D43" s="8" t="s">
        <v>143</v>
      </c>
      <c r="E43" s="8" t="s">
        <v>144</v>
      </c>
      <c r="F43" s="8" t="s">
        <v>145</v>
      </c>
      <c r="G43" s="8" t="s">
        <v>28</v>
      </c>
    </row>
    <row r="44" ht="15.75" customHeight="1" outlineLevel="1">
      <c r="A44" s="11" t="s">
        <v>127</v>
      </c>
      <c r="B44" s="12" t="s">
        <v>47</v>
      </c>
      <c r="C44" s="14" t="s">
        <v>39</v>
      </c>
      <c r="D44" s="12" t="s">
        <v>146</v>
      </c>
      <c r="E44" s="12" t="s">
        <v>147</v>
      </c>
      <c r="F44" s="12" t="s">
        <v>148</v>
      </c>
      <c r="G44" s="12" t="s">
        <v>28</v>
      </c>
    </row>
    <row r="45" ht="15.75" customHeight="1" outlineLevel="1">
      <c r="A45" s="7" t="s">
        <v>127</v>
      </c>
      <c r="B45" s="8" t="s">
        <v>73</v>
      </c>
      <c r="C45" s="14" t="s">
        <v>39</v>
      </c>
      <c r="D45" s="8" t="s">
        <v>149</v>
      </c>
      <c r="E45" s="8" t="s">
        <v>150</v>
      </c>
      <c r="F45" s="8" t="s">
        <v>151</v>
      </c>
      <c r="G45" s="8" t="s">
        <v>28</v>
      </c>
    </row>
    <row r="46" ht="15.75" customHeight="1" outlineLevel="1">
      <c r="A46" s="11" t="s">
        <v>152</v>
      </c>
      <c r="B46" s="12" t="s">
        <v>18</v>
      </c>
      <c r="C46" s="13" t="s">
        <v>34</v>
      </c>
      <c r="D46" s="12" t="s">
        <v>153</v>
      </c>
      <c r="E46" s="12" t="s">
        <v>154</v>
      </c>
      <c r="F46" s="12" t="s">
        <v>155</v>
      </c>
      <c r="G46" s="12" t="s">
        <v>28</v>
      </c>
    </row>
    <row r="47" ht="15.75" customHeight="1" outlineLevel="1">
      <c r="A47" s="7" t="s">
        <v>152</v>
      </c>
      <c r="B47" s="8" t="s">
        <v>24</v>
      </c>
      <c r="C47" s="14" t="s">
        <v>39</v>
      </c>
      <c r="D47" s="8" t="s">
        <v>156</v>
      </c>
      <c r="E47" s="8" t="s">
        <v>157</v>
      </c>
      <c r="F47" s="8" t="s">
        <v>158</v>
      </c>
      <c r="G47" s="8" t="s">
        <v>28</v>
      </c>
    </row>
    <row r="48" ht="15.75" customHeight="1" outlineLevel="1">
      <c r="A48" s="11" t="s">
        <v>152</v>
      </c>
      <c r="B48" s="12" t="s">
        <v>29</v>
      </c>
      <c r="C48" s="13" t="s">
        <v>34</v>
      </c>
      <c r="D48" s="12" t="s">
        <v>159</v>
      </c>
      <c r="E48" s="12" t="s">
        <v>160</v>
      </c>
      <c r="F48" s="12" t="s">
        <v>161</v>
      </c>
      <c r="G48" s="12" t="s">
        <v>28</v>
      </c>
    </row>
    <row r="49" ht="15.75" customHeight="1" outlineLevel="1">
      <c r="A49" s="7" t="s">
        <v>152</v>
      </c>
      <c r="B49" s="8" t="s">
        <v>33</v>
      </c>
      <c r="C49" s="14" t="s">
        <v>39</v>
      </c>
      <c r="D49" s="8" t="s">
        <v>162</v>
      </c>
      <c r="E49" s="8" t="s">
        <v>163</v>
      </c>
      <c r="F49" s="8" t="s">
        <v>164</v>
      </c>
      <c r="G49" s="8" t="s">
        <v>28</v>
      </c>
    </row>
    <row r="50" ht="15.75" customHeight="1" outlineLevel="1">
      <c r="A50" s="11" t="s">
        <v>152</v>
      </c>
      <c r="B50" s="12" t="s">
        <v>38</v>
      </c>
      <c r="C50" s="13" t="s">
        <v>34</v>
      </c>
      <c r="D50" s="12" t="s">
        <v>165</v>
      </c>
      <c r="E50" s="12" t="s">
        <v>166</v>
      </c>
      <c r="F50" s="12" t="s">
        <v>167</v>
      </c>
      <c r="G50" s="12" t="s">
        <v>28</v>
      </c>
    </row>
    <row r="51" ht="15.75" customHeight="1" outlineLevel="1">
      <c r="A51" s="7" t="s">
        <v>152</v>
      </c>
      <c r="B51" s="8" t="s">
        <v>43</v>
      </c>
      <c r="C51" s="13" t="s">
        <v>34</v>
      </c>
      <c r="D51" s="8" t="s">
        <v>168</v>
      </c>
      <c r="E51" s="8" t="s">
        <v>169</v>
      </c>
      <c r="F51" s="8" t="s">
        <v>170</v>
      </c>
      <c r="G51" s="8" t="s">
        <v>28</v>
      </c>
    </row>
    <row r="52" ht="15.75" customHeight="1" outlineLevel="1">
      <c r="A52" s="11" t="s">
        <v>152</v>
      </c>
      <c r="B52" s="12" t="s">
        <v>47</v>
      </c>
      <c r="C52" s="14" t="s">
        <v>39</v>
      </c>
      <c r="D52" s="12" t="s">
        <v>171</v>
      </c>
      <c r="E52" s="12" t="s">
        <v>172</v>
      </c>
      <c r="F52" s="12" t="s">
        <v>173</v>
      </c>
      <c r="G52" s="12" t="s">
        <v>28</v>
      </c>
    </row>
    <row r="53" ht="15.75" customHeight="1" outlineLevel="1">
      <c r="A53" s="7" t="s">
        <v>152</v>
      </c>
      <c r="B53" s="8" t="s">
        <v>73</v>
      </c>
      <c r="C53" s="14" t="s">
        <v>39</v>
      </c>
      <c r="D53" s="8" t="s">
        <v>174</v>
      </c>
      <c r="E53" s="8" t="s">
        <v>175</v>
      </c>
      <c r="F53" s="8" t="s">
        <v>176</v>
      </c>
      <c r="G53" s="8" t="s">
        <v>28</v>
      </c>
    </row>
    <row r="54" ht="15.75" customHeight="1" outlineLevel="1">
      <c r="A54" s="11" t="s">
        <v>177</v>
      </c>
      <c r="B54" s="12" t="s">
        <v>18</v>
      </c>
      <c r="C54" s="13" t="s">
        <v>34</v>
      </c>
      <c r="D54" s="12" t="s">
        <v>178</v>
      </c>
      <c r="E54" s="12" t="s">
        <v>179</v>
      </c>
      <c r="F54" s="12" t="s">
        <v>180</v>
      </c>
      <c r="G54" s="12" t="s">
        <v>28</v>
      </c>
    </row>
    <row r="55" ht="15.75" customHeight="1" outlineLevel="1">
      <c r="A55" s="7" t="s">
        <v>177</v>
      </c>
      <c r="B55" s="8" t="s">
        <v>24</v>
      </c>
      <c r="C55" s="15" t="s">
        <v>181</v>
      </c>
      <c r="D55" s="8" t="s">
        <v>182</v>
      </c>
      <c r="E55" s="8" t="s">
        <v>183</v>
      </c>
      <c r="F55" s="8" t="s">
        <v>184</v>
      </c>
      <c r="G55" s="8" t="s">
        <v>28</v>
      </c>
    </row>
    <row r="56" ht="15.75" customHeight="1" outlineLevel="1">
      <c r="A56" s="11" t="s">
        <v>177</v>
      </c>
      <c r="B56" s="12" t="s">
        <v>29</v>
      </c>
      <c r="C56" s="15" t="s">
        <v>181</v>
      </c>
      <c r="D56" s="12" t="s">
        <v>185</v>
      </c>
      <c r="E56" s="12" t="s">
        <v>186</v>
      </c>
      <c r="F56" s="12" t="s">
        <v>187</v>
      </c>
      <c r="G56" s="12" t="s">
        <v>28</v>
      </c>
    </row>
    <row r="57" ht="15.75" customHeight="1" outlineLevel="1">
      <c r="A57" s="7" t="s">
        <v>177</v>
      </c>
      <c r="B57" s="8" t="s">
        <v>33</v>
      </c>
      <c r="C57" s="15" t="s">
        <v>181</v>
      </c>
      <c r="D57" s="8" t="s">
        <v>188</v>
      </c>
      <c r="E57" s="8" t="s">
        <v>189</v>
      </c>
      <c r="F57" s="8" t="s">
        <v>190</v>
      </c>
      <c r="G57" s="8" t="s">
        <v>28</v>
      </c>
    </row>
    <row r="58" ht="15.75" customHeight="1" outlineLevel="1">
      <c r="A58" s="11" t="s">
        <v>177</v>
      </c>
      <c r="B58" s="12" t="s">
        <v>38</v>
      </c>
      <c r="C58" s="15" t="s">
        <v>181</v>
      </c>
      <c r="D58" s="12" t="s">
        <v>191</v>
      </c>
      <c r="E58" s="12" t="s">
        <v>192</v>
      </c>
      <c r="F58" s="12" t="s">
        <v>193</v>
      </c>
      <c r="G58" s="12" t="s">
        <v>28</v>
      </c>
    </row>
    <row r="59" ht="15.75" customHeight="1" outlineLevel="1">
      <c r="A59" s="7" t="s">
        <v>177</v>
      </c>
      <c r="B59" s="8" t="s">
        <v>43</v>
      </c>
      <c r="C59" s="14" t="s">
        <v>39</v>
      </c>
      <c r="D59" s="8" t="s">
        <v>194</v>
      </c>
      <c r="E59" s="8" t="s">
        <v>195</v>
      </c>
      <c r="F59" s="8" t="s">
        <v>196</v>
      </c>
      <c r="G59" s="8" t="s">
        <v>28</v>
      </c>
    </row>
    <row r="60" ht="15.75" customHeight="1" outlineLevel="1">
      <c r="A60" s="11" t="s">
        <v>177</v>
      </c>
      <c r="B60" s="12" t="s">
        <v>47</v>
      </c>
      <c r="C60" s="13" t="s">
        <v>34</v>
      </c>
      <c r="D60" s="12" t="s">
        <v>197</v>
      </c>
      <c r="E60" s="12" t="s">
        <v>198</v>
      </c>
      <c r="F60" s="12" t="s">
        <v>199</v>
      </c>
      <c r="G60" s="12" t="s">
        <v>28</v>
      </c>
    </row>
    <row r="61" ht="15.75" customHeight="1" outlineLevel="1">
      <c r="A61" s="7" t="s">
        <v>177</v>
      </c>
      <c r="B61" s="8" t="s">
        <v>73</v>
      </c>
      <c r="C61" s="14" t="s">
        <v>39</v>
      </c>
      <c r="D61" s="8" t="s">
        <v>200</v>
      </c>
      <c r="E61" s="8" t="s">
        <v>201</v>
      </c>
      <c r="F61" s="8" t="s">
        <v>202</v>
      </c>
      <c r="G61" s="8" t="s">
        <v>28</v>
      </c>
    </row>
    <row r="62" ht="15.75" customHeight="1" outlineLevel="1">
      <c r="A62" s="11" t="s">
        <v>203</v>
      </c>
      <c r="B62" s="12" t="s">
        <v>18</v>
      </c>
      <c r="C62" s="14" t="s">
        <v>39</v>
      </c>
      <c r="D62" s="12" t="s">
        <v>204</v>
      </c>
      <c r="E62" s="12" t="s">
        <v>205</v>
      </c>
      <c r="F62" s="12" t="s">
        <v>206</v>
      </c>
      <c r="G62" s="12" t="s">
        <v>28</v>
      </c>
    </row>
    <row r="63" ht="15.75" customHeight="1" outlineLevel="1">
      <c r="A63" s="7" t="s">
        <v>203</v>
      </c>
      <c r="B63" s="8" t="s">
        <v>24</v>
      </c>
      <c r="C63" s="14" t="s">
        <v>39</v>
      </c>
      <c r="D63" s="8" t="s">
        <v>207</v>
      </c>
      <c r="E63" s="8" t="s">
        <v>208</v>
      </c>
      <c r="F63" s="8" t="s">
        <v>209</v>
      </c>
      <c r="G63" s="8" t="s">
        <v>28</v>
      </c>
    </row>
    <row r="64" ht="15.75" customHeight="1" outlineLevel="1">
      <c r="A64" s="11" t="s">
        <v>203</v>
      </c>
      <c r="B64" s="12" t="s">
        <v>29</v>
      </c>
      <c r="C64" s="14" t="s">
        <v>39</v>
      </c>
      <c r="D64" s="12" t="s">
        <v>210</v>
      </c>
      <c r="E64" s="12" t="s">
        <v>211</v>
      </c>
      <c r="F64" s="12" t="s">
        <v>212</v>
      </c>
      <c r="G64" s="12" t="s">
        <v>28</v>
      </c>
    </row>
    <row r="65" ht="15.75" customHeight="1" outlineLevel="1">
      <c r="A65" s="7" t="s">
        <v>203</v>
      </c>
      <c r="B65" s="8" t="s">
        <v>33</v>
      </c>
      <c r="C65" s="16" t="s">
        <v>213</v>
      </c>
      <c r="D65" s="8" t="s">
        <v>214</v>
      </c>
      <c r="E65" s="8" t="s">
        <v>215</v>
      </c>
      <c r="F65" s="8" t="s">
        <v>216</v>
      </c>
      <c r="G65" s="8" t="s">
        <v>28</v>
      </c>
    </row>
    <row r="66" ht="15.75" customHeight="1" outlineLevel="1">
      <c r="A66" s="11" t="s">
        <v>203</v>
      </c>
      <c r="B66" s="12" t="s">
        <v>38</v>
      </c>
      <c r="C66" s="16" t="s">
        <v>213</v>
      </c>
      <c r="D66" s="12" t="s">
        <v>217</v>
      </c>
      <c r="E66" s="12" t="s">
        <v>218</v>
      </c>
      <c r="F66" s="12" t="s">
        <v>219</v>
      </c>
      <c r="G66" s="12" t="s">
        <v>28</v>
      </c>
    </row>
    <row r="67" ht="15.75" customHeight="1" outlineLevel="1">
      <c r="A67" s="7" t="s">
        <v>203</v>
      </c>
      <c r="B67" s="8" t="s">
        <v>43</v>
      </c>
      <c r="C67" s="14" t="s">
        <v>39</v>
      </c>
      <c r="D67" s="8" t="s">
        <v>220</v>
      </c>
      <c r="E67" s="8" t="s">
        <v>221</v>
      </c>
      <c r="F67" s="8" t="s">
        <v>222</v>
      </c>
      <c r="G67" s="8" t="s">
        <v>28</v>
      </c>
    </row>
    <row r="68" ht="15.75" customHeight="1" outlineLevel="1">
      <c r="A68" s="11" t="s">
        <v>203</v>
      </c>
      <c r="B68" s="12" t="s">
        <v>47</v>
      </c>
      <c r="C68" s="17" t="s">
        <v>223</v>
      </c>
      <c r="D68" s="12" t="s">
        <v>224</v>
      </c>
      <c r="E68" s="12" t="s">
        <v>225</v>
      </c>
      <c r="F68" s="12" t="s">
        <v>226</v>
      </c>
      <c r="G68" s="12" t="s">
        <v>28</v>
      </c>
    </row>
    <row r="69" ht="15.75" customHeight="1" outlineLevel="1">
      <c r="A69" s="7" t="s">
        <v>203</v>
      </c>
      <c r="B69" s="8" t="s">
        <v>73</v>
      </c>
      <c r="C69" s="18" t="s">
        <v>227</v>
      </c>
      <c r="D69" s="8" t="s">
        <v>228</v>
      </c>
      <c r="E69" s="8" t="s">
        <v>229</v>
      </c>
      <c r="F69" s="8" t="s">
        <v>230</v>
      </c>
      <c r="G69" s="8" t="s">
        <v>28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B2"/>
    <mergeCell ref="C2:D2"/>
    <mergeCell ref="E2:F2"/>
  </mergeCells>
  <conditionalFormatting sqref="G7:G69">
    <cfRule type="cellIs" dxfId="0" priority="1" operator="equal">
      <formula>"Done"</formula>
    </cfRule>
  </conditionalFormatting>
  <conditionalFormatting sqref="G7:G69">
    <cfRule type="cellIs" dxfId="1" priority="2" operator="equal">
      <formula>"In Progress"</formula>
    </cfRule>
  </conditionalFormatting>
  <dataValidations>
    <dataValidation type="list" allowBlank="1" sqref="G7:G69">
      <formula1>"⬜ Pending,In Progress,Done,Cancelled"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9.75"/>
    <col customWidth="1" min="2" max="2" width="12.25"/>
    <col customWidth="1" min="3" max="3" width="62.0"/>
    <col customWidth="1" min="4" max="5" width="14.0"/>
    <col customWidth="1" min="6" max="6" width="56.88"/>
    <col customWidth="1" min="7" max="26" width="7.63"/>
  </cols>
  <sheetData>
    <row r="1" ht="31.5" customHeight="1">
      <c r="A1" s="19" t="s">
        <v>231</v>
      </c>
    </row>
    <row r="2">
      <c r="A2" s="4" t="s">
        <v>232</v>
      </c>
      <c r="B2" s="4" t="s">
        <v>233</v>
      </c>
      <c r="C2" s="4" t="s">
        <v>234</v>
      </c>
      <c r="D2" s="4" t="s">
        <v>235</v>
      </c>
      <c r="E2" s="4" t="s">
        <v>236</v>
      </c>
      <c r="F2" s="4" t="s">
        <v>237</v>
      </c>
    </row>
    <row r="3">
      <c r="A3" s="5">
        <f>COUNTA(D15:D96)-COUNTIF(D15:D96,"")</f>
        <v>82</v>
      </c>
      <c r="B3" s="5">
        <f>COUNTIF(E15:E96,TRUE)</f>
        <v>0</v>
      </c>
      <c r="C3" s="5" t="str">
        <f>IFERROR(ROUND(B3/A3*100,0)&amp;"%","0%")</f>
        <v>0%</v>
      </c>
      <c r="D3" s="5">
        <f>COUNTIF(B15:B96,"🟢 Easy")</f>
        <v>0</v>
      </c>
      <c r="E3" s="5">
        <f>COUNTIF(B15:B96,"🟡 Medium")</f>
        <v>40</v>
      </c>
      <c r="F3" s="5">
        <f>COUNTIF(B15:B96,"🔴 Hard")</f>
        <v>42</v>
      </c>
    </row>
    <row r="4">
      <c r="A4" s="20" t="s">
        <v>238</v>
      </c>
      <c r="B4" s="21"/>
      <c r="C4" s="21"/>
      <c r="D4" s="21"/>
      <c r="E4" s="21"/>
      <c r="F4" s="22"/>
    </row>
    <row r="5">
      <c r="A5" s="23">
        <v>1.0</v>
      </c>
      <c r="B5" s="24" t="s">
        <v>239</v>
      </c>
      <c r="C5" s="22"/>
      <c r="D5" s="25" t="s">
        <v>240</v>
      </c>
      <c r="E5" s="21"/>
      <c r="F5" s="22"/>
    </row>
    <row r="6">
      <c r="A6" s="23">
        <v>2.0</v>
      </c>
      <c r="B6" s="24" t="s">
        <v>241</v>
      </c>
      <c r="C6" s="22"/>
      <c r="D6" s="25" t="s">
        <v>242</v>
      </c>
      <c r="E6" s="21"/>
      <c r="F6" s="22"/>
    </row>
    <row r="7">
      <c r="A7" s="23">
        <v>3.0</v>
      </c>
      <c r="B7" s="24" t="s">
        <v>243</v>
      </c>
      <c r="C7" s="22"/>
      <c r="D7" s="25" t="s">
        <v>244</v>
      </c>
      <c r="E7" s="21"/>
      <c r="F7" s="22"/>
    </row>
    <row r="8">
      <c r="A8" s="23">
        <v>4.0</v>
      </c>
      <c r="B8" s="24" t="s">
        <v>245</v>
      </c>
      <c r="C8" s="22"/>
      <c r="D8" s="25" t="s">
        <v>246</v>
      </c>
      <c r="E8" s="21"/>
      <c r="F8" s="22"/>
    </row>
    <row r="9">
      <c r="A9" s="23">
        <v>5.0</v>
      </c>
      <c r="B9" s="24" t="s">
        <v>247</v>
      </c>
      <c r="C9" s="22"/>
      <c r="D9" s="25" t="s">
        <v>248</v>
      </c>
      <c r="E9" s="21"/>
      <c r="F9" s="22"/>
    </row>
    <row r="10">
      <c r="A10" s="23">
        <v>6.0</v>
      </c>
      <c r="B10" s="24" t="s">
        <v>249</v>
      </c>
      <c r="C10" s="22"/>
      <c r="D10" s="25" t="s">
        <v>250</v>
      </c>
      <c r="E10" s="21"/>
      <c r="F10" s="22"/>
    </row>
    <row r="11">
      <c r="A11" s="23">
        <v>7.0</v>
      </c>
      <c r="B11" s="24" t="s">
        <v>251</v>
      </c>
      <c r="C11" s="22"/>
      <c r="D11" s="25" t="s">
        <v>252</v>
      </c>
      <c r="E11" s="21"/>
      <c r="F11" s="22"/>
    </row>
    <row r="12">
      <c r="A12" s="23">
        <v>8.0</v>
      </c>
      <c r="B12" s="24" t="s">
        <v>253</v>
      </c>
      <c r="C12" s="22"/>
      <c r="D12" s="25" t="s">
        <v>254</v>
      </c>
      <c r="E12" s="21"/>
      <c r="F12" s="22"/>
    </row>
    <row r="14">
      <c r="A14" s="6" t="s">
        <v>255</v>
      </c>
      <c r="B14" s="6" t="s">
        <v>256</v>
      </c>
      <c r="C14" s="6" t="s">
        <v>257</v>
      </c>
      <c r="D14" s="6" t="s">
        <v>258</v>
      </c>
      <c r="E14" s="6" t="s">
        <v>259</v>
      </c>
      <c r="F14" s="6" t="s">
        <v>260</v>
      </c>
    </row>
    <row r="15">
      <c r="A15" s="11" t="s">
        <v>261</v>
      </c>
      <c r="B15" s="12" t="s">
        <v>236</v>
      </c>
      <c r="C15" s="12" t="s">
        <v>262</v>
      </c>
      <c r="D15" s="12">
        <v>0.0</v>
      </c>
      <c r="E15" s="12" t="b">
        <f t="shared" ref="E15:E20" si="1">IF(D15&gt;=3,TRUE(),FALSE())</f>
        <v>0</v>
      </c>
      <c r="F15" s="12" t="s">
        <v>263</v>
      </c>
    </row>
    <row r="16">
      <c r="A16" s="11" t="s">
        <v>261</v>
      </c>
      <c r="B16" s="12" t="s">
        <v>237</v>
      </c>
      <c r="C16" s="12" t="s">
        <v>264</v>
      </c>
      <c r="D16" s="12">
        <v>0.0</v>
      </c>
      <c r="E16" s="12" t="b">
        <f t="shared" si="1"/>
        <v>0</v>
      </c>
      <c r="F16" s="12" t="s">
        <v>265</v>
      </c>
    </row>
    <row r="17">
      <c r="A17" s="11" t="s">
        <v>261</v>
      </c>
      <c r="B17" s="12" t="s">
        <v>237</v>
      </c>
      <c r="C17" s="12" t="s">
        <v>266</v>
      </c>
      <c r="D17" s="12">
        <v>0.0</v>
      </c>
      <c r="E17" s="12" t="b">
        <f t="shared" si="1"/>
        <v>0</v>
      </c>
      <c r="F17" s="12" t="s">
        <v>267</v>
      </c>
    </row>
    <row r="18">
      <c r="A18" s="11" t="s">
        <v>261</v>
      </c>
      <c r="B18" s="12" t="s">
        <v>236</v>
      </c>
      <c r="C18" s="12" t="s">
        <v>268</v>
      </c>
      <c r="D18" s="12">
        <v>0.0</v>
      </c>
      <c r="E18" s="12" t="b">
        <f t="shared" si="1"/>
        <v>0</v>
      </c>
      <c r="F18" s="12" t="s">
        <v>269</v>
      </c>
    </row>
    <row r="19">
      <c r="A19" s="11" t="s">
        <v>261</v>
      </c>
      <c r="B19" s="12" t="s">
        <v>237</v>
      </c>
      <c r="C19" s="12" t="s">
        <v>270</v>
      </c>
      <c r="D19" s="12">
        <v>0.0</v>
      </c>
      <c r="E19" s="12" t="b">
        <f t="shared" si="1"/>
        <v>0</v>
      </c>
      <c r="F19" s="12" t="s">
        <v>271</v>
      </c>
    </row>
    <row r="20">
      <c r="A20" s="11" t="s">
        <v>261</v>
      </c>
      <c r="B20" s="12" t="s">
        <v>236</v>
      </c>
      <c r="C20" s="12" t="s">
        <v>272</v>
      </c>
      <c r="D20" s="12">
        <v>0.0</v>
      </c>
      <c r="E20" s="12" t="b">
        <f t="shared" si="1"/>
        <v>0</v>
      </c>
      <c r="F20" s="12" t="s">
        <v>273</v>
      </c>
    </row>
    <row r="21" ht="15.75" customHeight="1">
      <c r="A21" s="11" t="s">
        <v>261</v>
      </c>
      <c r="B21" s="12" t="s">
        <v>236</v>
      </c>
      <c r="C21" s="12" t="s">
        <v>274</v>
      </c>
      <c r="D21" s="12">
        <v>0.0</v>
      </c>
      <c r="E21" s="12" t="b">
        <v>0</v>
      </c>
      <c r="F21" s="12" t="s">
        <v>275</v>
      </c>
    </row>
    <row r="22" ht="15.75" customHeight="1">
      <c r="A22" s="11" t="s">
        <v>261</v>
      </c>
      <c r="B22" s="12" t="s">
        <v>237</v>
      </c>
      <c r="C22" s="12" t="s">
        <v>276</v>
      </c>
      <c r="D22" s="12">
        <v>0.0</v>
      </c>
      <c r="E22" s="12" t="b">
        <v>0</v>
      </c>
      <c r="F22" s="12" t="s">
        <v>277</v>
      </c>
    </row>
    <row r="23" ht="15.75" customHeight="1">
      <c r="A23" s="11" t="s">
        <v>261</v>
      </c>
      <c r="B23" s="12" t="s">
        <v>236</v>
      </c>
      <c r="C23" s="12" t="s">
        <v>278</v>
      </c>
      <c r="D23" s="12">
        <v>0.0</v>
      </c>
      <c r="E23" s="12" t="b">
        <v>0</v>
      </c>
      <c r="F23" s="12" t="s">
        <v>279</v>
      </c>
    </row>
    <row r="24" ht="15.75" customHeight="1">
      <c r="A24" s="11" t="s">
        <v>261</v>
      </c>
      <c r="B24" s="12" t="s">
        <v>237</v>
      </c>
      <c r="C24" s="12" t="s">
        <v>280</v>
      </c>
      <c r="D24" s="12">
        <v>0.0</v>
      </c>
      <c r="E24" s="12" t="b">
        <v>0</v>
      </c>
      <c r="F24" s="12" t="s">
        <v>281</v>
      </c>
    </row>
    <row r="25" ht="15.75" customHeight="1">
      <c r="A25" s="11" t="s">
        <v>261</v>
      </c>
      <c r="B25" s="12" t="s">
        <v>236</v>
      </c>
      <c r="C25" s="12" t="s">
        <v>282</v>
      </c>
      <c r="D25" s="12">
        <v>0.0</v>
      </c>
      <c r="E25" s="12" t="b">
        <v>0</v>
      </c>
      <c r="F25" s="12" t="s">
        <v>283</v>
      </c>
    </row>
    <row r="26" ht="15.75" customHeight="1">
      <c r="A26" s="11" t="s">
        <v>261</v>
      </c>
      <c r="B26" s="12" t="s">
        <v>237</v>
      </c>
      <c r="C26" s="12" t="s">
        <v>284</v>
      </c>
      <c r="D26" s="12">
        <v>0.0</v>
      </c>
      <c r="E26" s="12" t="b">
        <v>0</v>
      </c>
      <c r="F26" s="12" t="s">
        <v>285</v>
      </c>
    </row>
    <row r="27" ht="15.75" customHeight="1">
      <c r="A27" s="11" t="s">
        <v>261</v>
      </c>
      <c r="B27" s="12" t="s">
        <v>236</v>
      </c>
      <c r="C27" s="12" t="s">
        <v>286</v>
      </c>
      <c r="D27" s="12">
        <v>0.0</v>
      </c>
      <c r="E27" s="12" t="b">
        <v>0</v>
      </c>
      <c r="F27" s="12" t="s">
        <v>287</v>
      </c>
    </row>
    <row r="28" ht="15.75" customHeight="1">
      <c r="A28" s="11" t="s">
        <v>261</v>
      </c>
      <c r="B28" s="12" t="s">
        <v>237</v>
      </c>
      <c r="C28" s="12" t="s">
        <v>288</v>
      </c>
      <c r="D28" s="12">
        <v>0.0</v>
      </c>
      <c r="E28" s="12" t="b">
        <v>0</v>
      </c>
      <c r="F28" s="12" t="s">
        <v>289</v>
      </c>
    </row>
    <row r="29" ht="15.75" customHeight="1">
      <c r="A29" s="11" t="s">
        <v>261</v>
      </c>
      <c r="B29" s="12" t="s">
        <v>237</v>
      </c>
      <c r="C29" s="12" t="s">
        <v>290</v>
      </c>
      <c r="D29" s="12">
        <v>0.0</v>
      </c>
      <c r="E29" s="12" t="b">
        <v>0</v>
      </c>
      <c r="F29" s="12" t="s">
        <v>291</v>
      </c>
    </row>
    <row r="30" ht="15.75" customHeight="1">
      <c r="A30" s="11" t="s">
        <v>261</v>
      </c>
      <c r="B30" s="12" t="s">
        <v>236</v>
      </c>
      <c r="C30" s="12" t="s">
        <v>292</v>
      </c>
      <c r="D30" s="12">
        <v>0.0</v>
      </c>
      <c r="E30" s="12" t="b">
        <v>0</v>
      </c>
      <c r="F30" s="12" t="s">
        <v>293</v>
      </c>
    </row>
    <row r="31" ht="15.75" customHeight="1">
      <c r="A31" s="11" t="s">
        <v>294</v>
      </c>
      <c r="B31" s="12" t="s">
        <v>236</v>
      </c>
      <c r="C31" s="12" t="s">
        <v>295</v>
      </c>
      <c r="D31" s="12">
        <v>0.0</v>
      </c>
      <c r="E31" s="12" t="b">
        <v>0</v>
      </c>
      <c r="F31" s="12" t="s">
        <v>296</v>
      </c>
    </row>
    <row r="32" ht="15.75" customHeight="1">
      <c r="A32" s="11" t="s">
        <v>294</v>
      </c>
      <c r="B32" s="12" t="s">
        <v>237</v>
      </c>
      <c r="C32" s="12" t="s">
        <v>297</v>
      </c>
      <c r="D32" s="12">
        <v>0.0</v>
      </c>
      <c r="E32" s="12" t="b">
        <v>0</v>
      </c>
      <c r="F32" s="12" t="s">
        <v>298</v>
      </c>
    </row>
    <row r="33" ht="15.75" customHeight="1">
      <c r="A33" s="11" t="s">
        <v>294</v>
      </c>
      <c r="B33" s="12" t="s">
        <v>236</v>
      </c>
      <c r="C33" s="12" t="s">
        <v>299</v>
      </c>
      <c r="D33" s="12">
        <v>0.0</v>
      </c>
      <c r="E33" s="12" t="b">
        <v>0</v>
      </c>
      <c r="F33" s="12" t="s">
        <v>300</v>
      </c>
    </row>
    <row r="34" ht="15.75" customHeight="1">
      <c r="A34" s="11" t="s">
        <v>294</v>
      </c>
      <c r="B34" s="12" t="s">
        <v>237</v>
      </c>
      <c r="C34" s="12" t="s">
        <v>301</v>
      </c>
      <c r="D34" s="12">
        <v>0.0</v>
      </c>
      <c r="E34" s="12" t="b">
        <v>0</v>
      </c>
      <c r="F34" s="12" t="s">
        <v>302</v>
      </c>
    </row>
    <row r="35" ht="15.75" customHeight="1">
      <c r="A35" s="11" t="s">
        <v>294</v>
      </c>
      <c r="B35" s="12" t="s">
        <v>236</v>
      </c>
      <c r="C35" s="12" t="s">
        <v>303</v>
      </c>
      <c r="D35" s="12">
        <v>0.0</v>
      </c>
      <c r="E35" s="12" t="b">
        <v>0</v>
      </c>
      <c r="F35" s="12" t="s">
        <v>304</v>
      </c>
    </row>
    <row r="36" ht="15.75" customHeight="1">
      <c r="A36" s="11" t="s">
        <v>294</v>
      </c>
      <c r="B36" s="12" t="s">
        <v>237</v>
      </c>
      <c r="C36" s="12" t="s">
        <v>305</v>
      </c>
      <c r="D36" s="12">
        <v>0.0</v>
      </c>
      <c r="E36" s="12" t="b">
        <v>0</v>
      </c>
      <c r="F36" s="12" t="s">
        <v>306</v>
      </c>
    </row>
    <row r="37" ht="15.75" customHeight="1">
      <c r="A37" s="11" t="s">
        <v>294</v>
      </c>
      <c r="B37" s="12" t="s">
        <v>236</v>
      </c>
      <c r="C37" s="12" t="s">
        <v>307</v>
      </c>
      <c r="D37" s="12">
        <v>0.0</v>
      </c>
      <c r="E37" s="12" t="b">
        <v>0</v>
      </c>
      <c r="F37" s="12" t="s">
        <v>308</v>
      </c>
    </row>
    <row r="38" ht="15.75" customHeight="1">
      <c r="A38" s="11" t="s">
        <v>294</v>
      </c>
      <c r="B38" s="12" t="s">
        <v>237</v>
      </c>
      <c r="C38" s="12" t="s">
        <v>309</v>
      </c>
      <c r="D38" s="12">
        <v>0.0</v>
      </c>
      <c r="E38" s="12" t="b">
        <v>0</v>
      </c>
      <c r="F38" s="12" t="s">
        <v>310</v>
      </c>
    </row>
    <row r="39" ht="15.75" customHeight="1">
      <c r="A39" s="11" t="s">
        <v>294</v>
      </c>
      <c r="B39" s="12" t="s">
        <v>236</v>
      </c>
      <c r="C39" s="12" t="s">
        <v>311</v>
      </c>
      <c r="D39" s="12">
        <v>0.0</v>
      </c>
      <c r="E39" s="12" t="b">
        <v>0</v>
      </c>
      <c r="F39" s="12" t="s">
        <v>312</v>
      </c>
    </row>
    <row r="40" ht="15.75" customHeight="1">
      <c r="A40" s="11" t="s">
        <v>294</v>
      </c>
      <c r="B40" s="12" t="s">
        <v>237</v>
      </c>
      <c r="C40" s="12" t="s">
        <v>313</v>
      </c>
      <c r="D40" s="12">
        <v>0.0</v>
      </c>
      <c r="E40" s="12" t="b">
        <v>0</v>
      </c>
      <c r="F40" s="12" t="s">
        <v>314</v>
      </c>
    </row>
    <row r="41" ht="15.75" customHeight="1">
      <c r="A41" s="11" t="s">
        <v>294</v>
      </c>
      <c r="B41" s="12" t="s">
        <v>236</v>
      </c>
      <c r="C41" s="12" t="s">
        <v>315</v>
      </c>
      <c r="D41" s="12">
        <v>0.0</v>
      </c>
      <c r="E41" s="12" t="b">
        <f t="shared" ref="E41:E45" si="2">IF(D41&gt;=3,TRUE(),FALSE())</f>
        <v>0</v>
      </c>
      <c r="F41" s="12" t="s">
        <v>316</v>
      </c>
    </row>
    <row r="42" ht="15.75" customHeight="1">
      <c r="A42" s="11" t="s">
        <v>294</v>
      </c>
      <c r="B42" s="12" t="s">
        <v>236</v>
      </c>
      <c r="C42" s="12" t="s">
        <v>317</v>
      </c>
      <c r="D42" s="12">
        <v>0.0</v>
      </c>
      <c r="E42" s="12" t="b">
        <f t="shared" si="2"/>
        <v>0</v>
      </c>
      <c r="F42" s="12" t="s">
        <v>318</v>
      </c>
    </row>
    <row r="43" ht="15.75" customHeight="1">
      <c r="A43" s="11" t="s">
        <v>294</v>
      </c>
      <c r="B43" s="12" t="s">
        <v>237</v>
      </c>
      <c r="C43" s="12" t="s">
        <v>319</v>
      </c>
      <c r="D43" s="12">
        <v>0.0</v>
      </c>
      <c r="E43" s="12" t="b">
        <f t="shared" si="2"/>
        <v>0</v>
      </c>
      <c r="F43" s="12" t="s">
        <v>320</v>
      </c>
    </row>
    <row r="44" ht="15.75" customHeight="1">
      <c r="A44" s="11" t="s">
        <v>294</v>
      </c>
      <c r="B44" s="12" t="s">
        <v>237</v>
      </c>
      <c r="C44" s="12" t="s">
        <v>321</v>
      </c>
      <c r="D44" s="12">
        <v>0.0</v>
      </c>
      <c r="E44" s="12" t="b">
        <f t="shared" si="2"/>
        <v>0</v>
      </c>
      <c r="F44" s="12" t="s">
        <v>322</v>
      </c>
    </row>
    <row r="45" ht="15.75" customHeight="1">
      <c r="A45" s="11" t="s">
        <v>294</v>
      </c>
      <c r="B45" s="12" t="s">
        <v>236</v>
      </c>
      <c r="C45" s="12" t="s">
        <v>323</v>
      </c>
      <c r="D45" s="12">
        <v>0.0</v>
      </c>
      <c r="E45" s="12" t="b">
        <f t="shared" si="2"/>
        <v>0</v>
      </c>
      <c r="F45" s="12" t="s">
        <v>324</v>
      </c>
    </row>
    <row r="46" ht="15.75" customHeight="1">
      <c r="A46" s="11" t="s">
        <v>325</v>
      </c>
      <c r="B46" s="12" t="s">
        <v>236</v>
      </c>
      <c r="C46" s="12" t="s">
        <v>326</v>
      </c>
      <c r="D46" s="12">
        <v>0.0</v>
      </c>
      <c r="E46" s="12" t="b">
        <v>0</v>
      </c>
      <c r="F46" s="12" t="s">
        <v>327</v>
      </c>
    </row>
    <row r="47" ht="15.75" customHeight="1">
      <c r="A47" s="11" t="s">
        <v>325</v>
      </c>
      <c r="B47" s="12" t="s">
        <v>237</v>
      </c>
      <c r="C47" s="12" t="s">
        <v>328</v>
      </c>
      <c r="D47" s="12">
        <v>0.0</v>
      </c>
      <c r="E47" s="12" t="b">
        <v>0</v>
      </c>
      <c r="F47" s="12" t="s">
        <v>329</v>
      </c>
    </row>
    <row r="48" ht="15.75" customHeight="1">
      <c r="A48" s="11" t="s">
        <v>325</v>
      </c>
      <c r="B48" s="12" t="s">
        <v>236</v>
      </c>
      <c r="C48" s="12" t="s">
        <v>330</v>
      </c>
      <c r="D48" s="12">
        <v>0.0</v>
      </c>
      <c r="E48" s="12" t="b">
        <v>0</v>
      </c>
      <c r="F48" s="12" t="s">
        <v>331</v>
      </c>
    </row>
    <row r="49" ht="15.75" customHeight="1">
      <c r="A49" s="11" t="s">
        <v>325</v>
      </c>
      <c r="B49" s="12" t="s">
        <v>237</v>
      </c>
      <c r="C49" s="12" t="s">
        <v>332</v>
      </c>
      <c r="D49" s="12">
        <v>0.0</v>
      </c>
      <c r="E49" s="12" t="b">
        <v>0</v>
      </c>
      <c r="F49" s="12" t="s">
        <v>333</v>
      </c>
    </row>
    <row r="50" ht="15.75" customHeight="1">
      <c r="A50" s="11" t="s">
        <v>325</v>
      </c>
      <c r="B50" s="12" t="s">
        <v>236</v>
      </c>
      <c r="C50" s="12" t="s">
        <v>334</v>
      </c>
      <c r="D50" s="12">
        <v>0.0</v>
      </c>
      <c r="E50" s="12" t="b">
        <v>0</v>
      </c>
      <c r="F50" s="12" t="s">
        <v>335</v>
      </c>
    </row>
    <row r="51" ht="15.75" customHeight="1">
      <c r="A51" s="11" t="s">
        <v>325</v>
      </c>
      <c r="B51" s="12" t="s">
        <v>237</v>
      </c>
      <c r="C51" s="12" t="s">
        <v>336</v>
      </c>
      <c r="D51" s="12">
        <v>0.0</v>
      </c>
      <c r="E51" s="12" t="b">
        <v>0</v>
      </c>
      <c r="F51" s="12" t="s">
        <v>337</v>
      </c>
    </row>
    <row r="52" ht="15.75" customHeight="1">
      <c r="A52" s="11" t="s">
        <v>325</v>
      </c>
      <c r="B52" s="12" t="s">
        <v>236</v>
      </c>
      <c r="C52" s="12" t="s">
        <v>338</v>
      </c>
      <c r="D52" s="12">
        <v>0.0</v>
      </c>
      <c r="E52" s="12" t="b">
        <v>0</v>
      </c>
      <c r="F52" s="12" t="s">
        <v>339</v>
      </c>
    </row>
    <row r="53" ht="15.75" customHeight="1">
      <c r="A53" s="11" t="s">
        <v>325</v>
      </c>
      <c r="B53" s="12" t="s">
        <v>237</v>
      </c>
      <c r="C53" s="12" t="s">
        <v>340</v>
      </c>
      <c r="D53" s="12">
        <v>0.0</v>
      </c>
      <c r="E53" s="12" t="b">
        <v>0</v>
      </c>
      <c r="F53" s="12" t="s">
        <v>341</v>
      </c>
    </row>
    <row r="54" ht="15.75" customHeight="1">
      <c r="A54" s="11" t="s">
        <v>325</v>
      </c>
      <c r="B54" s="12" t="s">
        <v>236</v>
      </c>
      <c r="C54" s="12" t="s">
        <v>342</v>
      </c>
      <c r="D54" s="12">
        <v>0.0</v>
      </c>
      <c r="E54" s="12" t="b">
        <v>0</v>
      </c>
      <c r="F54" s="12" t="s">
        <v>343</v>
      </c>
    </row>
    <row r="55" ht="15.75" customHeight="1">
      <c r="A55" s="11" t="s">
        <v>325</v>
      </c>
      <c r="B55" s="12" t="s">
        <v>237</v>
      </c>
      <c r="C55" s="12" t="s">
        <v>344</v>
      </c>
      <c r="D55" s="12">
        <v>0.0</v>
      </c>
      <c r="E55" s="12" t="b">
        <v>0</v>
      </c>
      <c r="F55" s="12" t="s">
        <v>345</v>
      </c>
    </row>
    <row r="56" ht="15.75" customHeight="1">
      <c r="A56" s="11" t="s">
        <v>346</v>
      </c>
      <c r="B56" s="12" t="s">
        <v>236</v>
      </c>
      <c r="C56" s="12" t="s">
        <v>347</v>
      </c>
      <c r="D56" s="12">
        <v>0.0</v>
      </c>
      <c r="E56" s="12" t="b">
        <v>0</v>
      </c>
      <c r="F56" s="12" t="s">
        <v>348</v>
      </c>
    </row>
    <row r="57" ht="15.75" customHeight="1">
      <c r="A57" s="11" t="s">
        <v>346</v>
      </c>
      <c r="B57" s="12" t="s">
        <v>237</v>
      </c>
      <c r="C57" s="12" t="s">
        <v>349</v>
      </c>
      <c r="D57" s="12">
        <v>0.0</v>
      </c>
      <c r="E57" s="12" t="b">
        <v>0</v>
      </c>
      <c r="F57" s="12" t="s">
        <v>350</v>
      </c>
    </row>
    <row r="58" ht="15.75" customHeight="1">
      <c r="A58" s="11" t="s">
        <v>346</v>
      </c>
      <c r="B58" s="12" t="s">
        <v>236</v>
      </c>
      <c r="C58" s="12" t="s">
        <v>351</v>
      </c>
      <c r="D58" s="12">
        <v>0.0</v>
      </c>
      <c r="E58" s="12" t="b">
        <v>0</v>
      </c>
      <c r="F58" s="12" t="s">
        <v>352</v>
      </c>
    </row>
    <row r="59" ht="15.75" customHeight="1">
      <c r="A59" s="11" t="s">
        <v>346</v>
      </c>
      <c r="B59" s="12" t="s">
        <v>237</v>
      </c>
      <c r="C59" s="12" t="s">
        <v>353</v>
      </c>
      <c r="D59" s="12">
        <v>0.0</v>
      </c>
      <c r="E59" s="12" t="b">
        <v>0</v>
      </c>
      <c r="F59" s="12" t="s">
        <v>354</v>
      </c>
    </row>
    <row r="60" ht="15.75" customHeight="1">
      <c r="A60" s="11" t="s">
        <v>346</v>
      </c>
      <c r="B60" s="12" t="s">
        <v>236</v>
      </c>
      <c r="C60" s="12" t="s">
        <v>355</v>
      </c>
      <c r="D60" s="12">
        <v>0.0</v>
      </c>
      <c r="E60" s="12" t="b">
        <v>0</v>
      </c>
      <c r="F60" s="12" t="s">
        <v>356</v>
      </c>
    </row>
    <row r="61" ht="15.75" customHeight="1">
      <c r="A61" s="11" t="s">
        <v>346</v>
      </c>
      <c r="B61" s="12" t="s">
        <v>237</v>
      </c>
      <c r="C61" s="12" t="s">
        <v>357</v>
      </c>
      <c r="D61" s="12">
        <v>0.0</v>
      </c>
      <c r="E61" s="12" t="b">
        <v>0</v>
      </c>
      <c r="F61" s="12" t="s">
        <v>358</v>
      </c>
    </row>
    <row r="62" ht="15.75" customHeight="1">
      <c r="A62" s="11" t="s">
        <v>346</v>
      </c>
      <c r="B62" s="12" t="s">
        <v>236</v>
      </c>
      <c r="C62" s="12" t="s">
        <v>359</v>
      </c>
      <c r="D62" s="12">
        <v>0.0</v>
      </c>
      <c r="E62" s="12" t="b">
        <v>0</v>
      </c>
      <c r="F62" s="12" t="s">
        <v>360</v>
      </c>
    </row>
    <row r="63" ht="15.75" customHeight="1">
      <c r="A63" s="11" t="s">
        <v>346</v>
      </c>
      <c r="B63" s="12" t="s">
        <v>237</v>
      </c>
      <c r="C63" s="12" t="s">
        <v>361</v>
      </c>
      <c r="D63" s="12">
        <v>0.0</v>
      </c>
      <c r="E63" s="12" t="b">
        <v>0</v>
      </c>
      <c r="F63" s="12" t="s">
        <v>362</v>
      </c>
    </row>
    <row r="64" ht="15.75" customHeight="1">
      <c r="A64" s="11" t="s">
        <v>363</v>
      </c>
      <c r="B64" s="12" t="s">
        <v>236</v>
      </c>
      <c r="C64" s="12" t="s">
        <v>364</v>
      </c>
      <c r="D64" s="12">
        <v>0.0</v>
      </c>
      <c r="E64" s="12" t="b">
        <f t="shared" ref="E64:E69" si="3">IF(D64&gt;=3,TRUE(),FALSE())</f>
        <v>0</v>
      </c>
      <c r="F64" s="12" t="s">
        <v>365</v>
      </c>
    </row>
    <row r="65" ht="15.75" customHeight="1">
      <c r="A65" s="11" t="s">
        <v>363</v>
      </c>
      <c r="B65" s="12" t="s">
        <v>236</v>
      </c>
      <c r="C65" s="12" t="s">
        <v>366</v>
      </c>
      <c r="D65" s="12">
        <v>0.0</v>
      </c>
      <c r="E65" s="12" t="b">
        <f t="shared" si="3"/>
        <v>0</v>
      </c>
      <c r="F65" s="12" t="s">
        <v>367</v>
      </c>
    </row>
    <row r="66" ht="15.75" customHeight="1">
      <c r="A66" s="11" t="s">
        <v>363</v>
      </c>
      <c r="B66" s="12" t="s">
        <v>237</v>
      </c>
      <c r="C66" s="12" t="s">
        <v>368</v>
      </c>
      <c r="D66" s="12">
        <v>0.0</v>
      </c>
      <c r="E66" s="12" t="b">
        <f t="shared" si="3"/>
        <v>0</v>
      </c>
      <c r="F66" s="12" t="s">
        <v>369</v>
      </c>
    </row>
    <row r="67" ht="15.75" customHeight="1">
      <c r="A67" s="11" t="s">
        <v>363</v>
      </c>
      <c r="B67" s="12" t="s">
        <v>237</v>
      </c>
      <c r="C67" s="12" t="s">
        <v>370</v>
      </c>
      <c r="D67" s="12">
        <v>0.0</v>
      </c>
      <c r="E67" s="12" t="b">
        <f t="shared" si="3"/>
        <v>0</v>
      </c>
      <c r="F67" s="12" t="s">
        <v>371</v>
      </c>
    </row>
    <row r="68" ht="15.75" customHeight="1">
      <c r="A68" s="11" t="s">
        <v>363</v>
      </c>
      <c r="B68" s="12" t="s">
        <v>236</v>
      </c>
      <c r="C68" s="12" t="s">
        <v>372</v>
      </c>
      <c r="D68" s="12">
        <v>0.0</v>
      </c>
      <c r="E68" s="12" t="b">
        <f t="shared" si="3"/>
        <v>0</v>
      </c>
      <c r="F68" s="12" t="s">
        <v>373</v>
      </c>
    </row>
    <row r="69" ht="15.75" customHeight="1">
      <c r="A69" s="11" t="s">
        <v>363</v>
      </c>
      <c r="B69" s="12" t="s">
        <v>236</v>
      </c>
      <c r="C69" s="12" t="s">
        <v>374</v>
      </c>
      <c r="D69" s="12">
        <v>0.0</v>
      </c>
      <c r="E69" s="12" t="b">
        <f t="shared" si="3"/>
        <v>0</v>
      </c>
      <c r="F69" s="12" t="s">
        <v>375</v>
      </c>
    </row>
    <row r="70" ht="15.75" customHeight="1">
      <c r="A70" s="11" t="s">
        <v>363</v>
      </c>
      <c r="B70" s="12" t="s">
        <v>236</v>
      </c>
      <c r="C70" s="12" t="s">
        <v>376</v>
      </c>
      <c r="D70" s="12">
        <v>0.0</v>
      </c>
      <c r="E70" s="12" t="b">
        <v>0</v>
      </c>
      <c r="F70" s="12" t="s">
        <v>377</v>
      </c>
    </row>
    <row r="71" ht="15.75" customHeight="1">
      <c r="A71" s="11" t="s">
        <v>363</v>
      </c>
      <c r="B71" s="12" t="s">
        <v>236</v>
      </c>
      <c r="C71" s="12" t="s">
        <v>378</v>
      </c>
      <c r="D71" s="12">
        <v>0.0</v>
      </c>
      <c r="E71" s="12" t="b">
        <v>0</v>
      </c>
      <c r="F71" s="12" t="s">
        <v>379</v>
      </c>
    </row>
    <row r="72" ht="15.75" customHeight="1">
      <c r="A72" s="11" t="s">
        <v>363</v>
      </c>
      <c r="B72" s="12" t="s">
        <v>237</v>
      </c>
      <c r="C72" s="12" t="s">
        <v>380</v>
      </c>
      <c r="D72" s="12">
        <v>0.0</v>
      </c>
      <c r="E72" s="12" t="b">
        <v>0</v>
      </c>
      <c r="F72" s="12" t="s">
        <v>381</v>
      </c>
    </row>
    <row r="73" ht="15.75" customHeight="1">
      <c r="A73" s="11" t="s">
        <v>363</v>
      </c>
      <c r="B73" s="12" t="s">
        <v>236</v>
      </c>
      <c r="C73" s="12" t="s">
        <v>382</v>
      </c>
      <c r="D73" s="12">
        <v>0.0</v>
      </c>
      <c r="E73" s="12" t="b">
        <v>0</v>
      </c>
      <c r="F73" s="12" t="s">
        <v>383</v>
      </c>
    </row>
    <row r="74" ht="15.75" customHeight="1">
      <c r="A74" s="11" t="s">
        <v>363</v>
      </c>
      <c r="B74" s="12" t="s">
        <v>237</v>
      </c>
      <c r="C74" s="12" t="s">
        <v>384</v>
      </c>
      <c r="D74" s="12">
        <v>0.0</v>
      </c>
      <c r="E74" s="12" t="b">
        <v>0</v>
      </c>
      <c r="F74" s="12" t="s">
        <v>385</v>
      </c>
    </row>
    <row r="75" ht="15.75" customHeight="1">
      <c r="A75" s="11" t="s">
        <v>363</v>
      </c>
      <c r="B75" s="12" t="s">
        <v>236</v>
      </c>
      <c r="C75" s="12" t="s">
        <v>386</v>
      </c>
      <c r="D75" s="12">
        <v>0.0</v>
      </c>
      <c r="E75" s="12" t="b">
        <v>0</v>
      </c>
      <c r="F75" s="12" t="s">
        <v>387</v>
      </c>
    </row>
    <row r="76" ht="15.75" customHeight="1">
      <c r="A76" s="11" t="s">
        <v>363</v>
      </c>
      <c r="B76" s="12" t="s">
        <v>237</v>
      </c>
      <c r="C76" s="12" t="s">
        <v>388</v>
      </c>
      <c r="D76" s="12">
        <v>0.0</v>
      </c>
      <c r="E76" s="12" t="b">
        <v>0</v>
      </c>
      <c r="F76" s="12" t="s">
        <v>389</v>
      </c>
    </row>
    <row r="77" ht="15.75" customHeight="1">
      <c r="A77" s="11" t="s">
        <v>363</v>
      </c>
      <c r="B77" s="12" t="s">
        <v>237</v>
      </c>
      <c r="C77" s="12" t="s">
        <v>390</v>
      </c>
      <c r="D77" s="12">
        <v>0.0</v>
      </c>
      <c r="E77" s="12" t="b">
        <v>0</v>
      </c>
      <c r="F77" s="12" t="s">
        <v>391</v>
      </c>
    </row>
    <row r="78" ht="15.75" customHeight="1">
      <c r="A78" s="11" t="s">
        <v>392</v>
      </c>
      <c r="B78" s="12" t="s">
        <v>236</v>
      </c>
      <c r="C78" s="12" t="s">
        <v>393</v>
      </c>
      <c r="D78" s="12">
        <v>0.0</v>
      </c>
      <c r="E78" s="12" t="b">
        <v>0</v>
      </c>
      <c r="F78" s="12" t="s">
        <v>394</v>
      </c>
    </row>
    <row r="79" ht="15.75" customHeight="1">
      <c r="A79" s="11" t="s">
        <v>392</v>
      </c>
      <c r="B79" s="12" t="s">
        <v>237</v>
      </c>
      <c r="C79" s="12" t="s">
        <v>395</v>
      </c>
      <c r="D79" s="12">
        <v>0.0</v>
      </c>
      <c r="E79" s="12" t="b">
        <v>0</v>
      </c>
      <c r="F79" s="12" t="s">
        <v>396</v>
      </c>
    </row>
    <row r="80" ht="15.75" customHeight="1">
      <c r="A80" s="11" t="s">
        <v>392</v>
      </c>
      <c r="B80" s="12" t="s">
        <v>236</v>
      </c>
      <c r="C80" s="12" t="s">
        <v>397</v>
      </c>
      <c r="D80" s="12">
        <v>0.0</v>
      </c>
      <c r="E80" s="12" t="b">
        <v>0</v>
      </c>
      <c r="F80" s="12" t="s">
        <v>398</v>
      </c>
    </row>
    <row r="81" ht="15.75" customHeight="1">
      <c r="A81" s="11" t="s">
        <v>392</v>
      </c>
      <c r="B81" s="12" t="s">
        <v>237</v>
      </c>
      <c r="C81" s="12" t="s">
        <v>399</v>
      </c>
      <c r="D81" s="12">
        <v>0.0</v>
      </c>
      <c r="E81" s="12" t="b">
        <v>0</v>
      </c>
      <c r="F81" s="12" t="s">
        <v>400</v>
      </c>
    </row>
    <row r="82" ht="15.75" customHeight="1">
      <c r="A82" s="11" t="s">
        <v>392</v>
      </c>
      <c r="B82" s="12" t="s">
        <v>237</v>
      </c>
      <c r="C82" s="12" t="s">
        <v>401</v>
      </c>
      <c r="D82" s="12">
        <v>0.0</v>
      </c>
      <c r="E82" s="12" t="b">
        <v>0</v>
      </c>
      <c r="F82" s="12" t="s">
        <v>402</v>
      </c>
    </row>
    <row r="83" ht="15.75" customHeight="1">
      <c r="A83" s="11" t="s">
        <v>392</v>
      </c>
      <c r="B83" s="12" t="s">
        <v>236</v>
      </c>
      <c r="C83" s="12" t="s">
        <v>403</v>
      </c>
      <c r="D83" s="12">
        <v>0.0</v>
      </c>
      <c r="E83" s="12" t="b">
        <v>0</v>
      </c>
      <c r="F83" s="12" t="s">
        <v>404</v>
      </c>
    </row>
    <row r="84" ht="15.75" customHeight="1">
      <c r="A84" s="11" t="s">
        <v>405</v>
      </c>
      <c r="B84" s="12" t="s">
        <v>237</v>
      </c>
      <c r="C84" s="12" t="s">
        <v>406</v>
      </c>
      <c r="D84" s="12">
        <v>0.0</v>
      </c>
      <c r="E84" s="12" t="b">
        <f t="shared" ref="E84:E87" si="4">IF(D84&gt;=3,TRUE(),FALSE())</f>
        <v>0</v>
      </c>
      <c r="F84" s="12" t="s">
        <v>407</v>
      </c>
    </row>
    <row r="85" ht="15.75" customHeight="1">
      <c r="A85" s="7" t="s">
        <v>405</v>
      </c>
      <c r="B85" s="8" t="s">
        <v>236</v>
      </c>
      <c r="C85" s="8" t="s">
        <v>408</v>
      </c>
      <c r="D85" s="8">
        <v>0.0</v>
      </c>
      <c r="E85" s="8" t="b">
        <f t="shared" si="4"/>
        <v>0</v>
      </c>
      <c r="F85" s="8" t="s">
        <v>409</v>
      </c>
    </row>
    <row r="86" ht="15.75" customHeight="1">
      <c r="A86" s="11" t="s">
        <v>405</v>
      </c>
      <c r="B86" s="12" t="s">
        <v>237</v>
      </c>
      <c r="C86" s="12" t="s">
        <v>410</v>
      </c>
      <c r="D86" s="12">
        <v>0.0</v>
      </c>
      <c r="E86" s="12" t="b">
        <f t="shared" si="4"/>
        <v>0</v>
      </c>
      <c r="F86" s="12" t="s">
        <v>411</v>
      </c>
    </row>
    <row r="87" ht="15.75" customHeight="1">
      <c r="A87" s="7" t="s">
        <v>405</v>
      </c>
      <c r="B87" s="8" t="s">
        <v>236</v>
      </c>
      <c r="C87" s="8" t="s">
        <v>412</v>
      </c>
      <c r="D87" s="8">
        <v>0.0</v>
      </c>
      <c r="E87" s="8" t="b">
        <f t="shared" si="4"/>
        <v>0</v>
      </c>
      <c r="F87" s="8" t="s">
        <v>413</v>
      </c>
    </row>
    <row r="88" ht="15.75" customHeight="1">
      <c r="A88" s="11" t="s">
        <v>405</v>
      </c>
      <c r="B88" s="12" t="s">
        <v>237</v>
      </c>
      <c r="C88" s="12" t="s">
        <v>414</v>
      </c>
      <c r="D88" s="12">
        <v>0.0</v>
      </c>
      <c r="E88" s="12" t="b">
        <v>0</v>
      </c>
      <c r="F88" s="12" t="s">
        <v>415</v>
      </c>
    </row>
    <row r="89" ht="15.75" customHeight="1">
      <c r="A89" s="11" t="s">
        <v>405</v>
      </c>
      <c r="B89" s="12" t="s">
        <v>237</v>
      </c>
      <c r="C89" s="12" t="s">
        <v>416</v>
      </c>
      <c r="D89" s="12">
        <v>0.0</v>
      </c>
      <c r="E89" s="12" t="b">
        <v>0</v>
      </c>
      <c r="F89" s="12" t="s">
        <v>417</v>
      </c>
    </row>
    <row r="90" ht="15.75" customHeight="1">
      <c r="A90" s="11" t="s">
        <v>405</v>
      </c>
      <c r="B90" s="12" t="s">
        <v>237</v>
      </c>
      <c r="C90" s="12" t="s">
        <v>418</v>
      </c>
      <c r="D90" s="12">
        <v>0.0</v>
      </c>
      <c r="E90" s="12" t="b">
        <v>0</v>
      </c>
      <c r="F90" s="12" t="s">
        <v>419</v>
      </c>
    </row>
    <row r="91" ht="15.75" customHeight="1">
      <c r="A91" s="11" t="s">
        <v>405</v>
      </c>
      <c r="B91" s="12" t="s">
        <v>237</v>
      </c>
      <c r="C91" s="12" t="s">
        <v>420</v>
      </c>
      <c r="D91" s="12">
        <v>0.0</v>
      </c>
      <c r="E91" s="12" t="b">
        <v>0</v>
      </c>
      <c r="F91" s="12" t="s">
        <v>421</v>
      </c>
    </row>
    <row r="92" ht="15.75" customHeight="1">
      <c r="A92" s="11" t="s">
        <v>405</v>
      </c>
      <c r="B92" s="12" t="s">
        <v>237</v>
      </c>
      <c r="C92" s="12" t="s">
        <v>422</v>
      </c>
      <c r="D92" s="12">
        <v>0.0</v>
      </c>
      <c r="E92" s="12" t="b">
        <v>0</v>
      </c>
      <c r="F92" s="12" t="s">
        <v>423</v>
      </c>
    </row>
    <row r="93" ht="15.75" customHeight="1">
      <c r="A93" s="11" t="s">
        <v>405</v>
      </c>
      <c r="B93" s="12" t="s">
        <v>237</v>
      </c>
      <c r="C93" s="12" t="s">
        <v>424</v>
      </c>
      <c r="D93" s="12">
        <v>0.0</v>
      </c>
      <c r="E93" s="12" t="b">
        <v>0</v>
      </c>
      <c r="F93" s="12" t="s">
        <v>425</v>
      </c>
    </row>
    <row r="94" ht="15.75" customHeight="1">
      <c r="A94" s="11" t="s">
        <v>426</v>
      </c>
      <c r="B94" s="12" t="s">
        <v>236</v>
      </c>
      <c r="C94" s="12" t="s">
        <v>427</v>
      </c>
      <c r="D94" s="12">
        <v>0.0</v>
      </c>
      <c r="E94" s="12" t="b">
        <f t="shared" ref="E94:E96" si="5">IF(D94&gt;=3,TRUE(),FALSE())</f>
        <v>0</v>
      </c>
      <c r="F94" s="12" t="s">
        <v>428</v>
      </c>
    </row>
    <row r="95" ht="15.75" customHeight="1">
      <c r="A95" s="7" t="s">
        <v>426</v>
      </c>
      <c r="B95" s="8" t="s">
        <v>237</v>
      </c>
      <c r="C95" s="8" t="s">
        <v>429</v>
      </c>
      <c r="D95" s="8">
        <v>0.0</v>
      </c>
      <c r="E95" s="8" t="b">
        <f t="shared" si="5"/>
        <v>0</v>
      </c>
      <c r="F95" s="8" t="s">
        <v>430</v>
      </c>
    </row>
    <row r="96" ht="15.75" customHeight="1">
      <c r="A96" s="11" t="s">
        <v>426</v>
      </c>
      <c r="B96" s="12" t="s">
        <v>236</v>
      </c>
      <c r="C96" s="12" t="s">
        <v>431</v>
      </c>
      <c r="D96" s="12">
        <v>0.0</v>
      </c>
      <c r="E96" s="12" t="b">
        <f t="shared" si="5"/>
        <v>0</v>
      </c>
      <c r="F96" s="12" t="s">
        <v>432</v>
      </c>
    </row>
    <row r="97" ht="15.75" customHeight="1"/>
    <row r="98" ht="15.75" customHeight="1">
      <c r="A98" s="26" t="s">
        <v>433</v>
      </c>
    </row>
    <row r="99" ht="15.75" customHeight="1">
      <c r="A99" s="27" t="s">
        <v>434</v>
      </c>
      <c r="B99" s="28" t="s">
        <v>435</v>
      </c>
      <c r="C99" s="21"/>
      <c r="D99" s="21"/>
      <c r="E99" s="21"/>
      <c r="F99" s="22"/>
    </row>
    <row r="100" ht="15.75" customHeight="1">
      <c r="A100" s="29" t="s">
        <v>436</v>
      </c>
      <c r="B100" s="30" t="s">
        <v>437</v>
      </c>
      <c r="C100" s="21"/>
      <c r="D100" s="21"/>
      <c r="E100" s="21"/>
      <c r="F100" s="22"/>
    </row>
    <row r="101" ht="15.75" customHeight="1">
      <c r="A101" s="27" t="s">
        <v>438</v>
      </c>
      <c r="B101" s="28" t="s">
        <v>439</v>
      </c>
      <c r="C101" s="21"/>
      <c r="D101" s="21"/>
      <c r="E101" s="21"/>
      <c r="F101" s="22"/>
    </row>
    <row r="102" ht="15.75" customHeight="1">
      <c r="A102" s="29" t="s">
        <v>78</v>
      </c>
      <c r="B102" s="30" t="s">
        <v>440</v>
      </c>
      <c r="C102" s="21"/>
      <c r="D102" s="21"/>
      <c r="E102" s="21"/>
      <c r="F102" s="22"/>
    </row>
    <row r="103" ht="15.75" customHeight="1">
      <c r="A103" s="27" t="s">
        <v>61</v>
      </c>
      <c r="B103" s="28" t="s">
        <v>441</v>
      </c>
      <c r="C103" s="21"/>
      <c r="D103" s="21"/>
      <c r="E103" s="21"/>
      <c r="F103" s="22"/>
    </row>
    <row r="104" ht="15.75" customHeight="1">
      <c r="A104" s="29" t="s">
        <v>442</v>
      </c>
      <c r="B104" s="30" t="s">
        <v>443</v>
      </c>
      <c r="C104" s="21"/>
      <c r="D104" s="21"/>
      <c r="E104" s="21"/>
      <c r="F104" s="22"/>
    </row>
    <row r="105" ht="15.75" customHeight="1">
      <c r="A105" s="27" t="s">
        <v>444</v>
      </c>
      <c r="B105" s="28" t="s">
        <v>445</v>
      </c>
      <c r="C105" s="21"/>
      <c r="D105" s="21"/>
      <c r="E105" s="21"/>
      <c r="F105" s="22"/>
    </row>
    <row r="106" ht="15.75" customHeight="1">
      <c r="A106" s="29" t="s">
        <v>446</v>
      </c>
      <c r="B106" s="30" t="s">
        <v>447</v>
      </c>
      <c r="C106" s="21"/>
      <c r="D106" s="21"/>
      <c r="E106" s="21"/>
      <c r="F106" s="22"/>
    </row>
    <row r="107" ht="15.75" customHeight="1">
      <c r="A107" s="27" t="s">
        <v>448</v>
      </c>
      <c r="B107" s="28" t="s">
        <v>449</v>
      </c>
      <c r="C107" s="21"/>
      <c r="D107" s="21"/>
      <c r="E107" s="21"/>
      <c r="F107" s="22"/>
    </row>
    <row r="108" ht="15.75" customHeight="1">
      <c r="A108" s="29" t="s">
        <v>134</v>
      </c>
      <c r="B108" s="30" t="s">
        <v>450</v>
      </c>
      <c r="C108" s="21"/>
      <c r="D108" s="21"/>
      <c r="E108" s="21"/>
      <c r="F108" s="22"/>
    </row>
    <row r="109" ht="15.75" customHeight="1">
      <c r="A109" s="27" t="s">
        <v>451</v>
      </c>
      <c r="B109" s="28" t="s">
        <v>452</v>
      </c>
      <c r="C109" s="21"/>
      <c r="D109" s="21"/>
      <c r="E109" s="21"/>
      <c r="F109" s="22"/>
    </row>
    <row r="110" ht="15.75" customHeight="1">
      <c r="A110" s="29" t="s">
        <v>453</v>
      </c>
      <c r="B110" s="30" t="s">
        <v>454</v>
      </c>
      <c r="C110" s="21"/>
      <c r="D110" s="21"/>
      <c r="E110" s="21"/>
      <c r="F110" s="22"/>
    </row>
    <row r="111" ht="15.75" customHeight="1">
      <c r="B111" s="3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</row>
    <row r="112" ht="15.75" customHeight="1">
      <c r="B112" s="3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</row>
    <row r="113" ht="15.75" customHeight="1">
      <c r="A113" s="26" t="s">
        <v>455</v>
      </c>
    </row>
    <row r="114" ht="15.75" customHeight="1">
      <c r="A114" s="6" t="s">
        <v>456</v>
      </c>
      <c r="B114" s="6" t="s">
        <v>457</v>
      </c>
      <c r="C114" s="6" t="s">
        <v>458</v>
      </c>
      <c r="D114" s="6" t="s">
        <v>459</v>
      </c>
    </row>
    <row r="115" ht="15.75" customHeight="1">
      <c r="A115" s="7" t="s">
        <v>78</v>
      </c>
      <c r="B115" s="8" t="s">
        <v>460</v>
      </c>
      <c r="C115" s="8" t="s">
        <v>461</v>
      </c>
      <c r="D115" s="8" t="s">
        <v>462</v>
      </c>
    </row>
    <row r="116" ht="15.75" customHeight="1">
      <c r="A116" s="11" t="s">
        <v>434</v>
      </c>
      <c r="B116" s="12" t="s">
        <v>463</v>
      </c>
      <c r="C116" s="12" t="s">
        <v>464</v>
      </c>
      <c r="D116" s="12" t="s">
        <v>465</v>
      </c>
    </row>
    <row r="117" ht="15.75" customHeight="1">
      <c r="A117" s="7" t="s">
        <v>466</v>
      </c>
      <c r="B117" s="8" t="s">
        <v>467</v>
      </c>
      <c r="C117" s="8" t="s">
        <v>464</v>
      </c>
      <c r="D117" s="8" t="s">
        <v>468</v>
      </c>
    </row>
    <row r="118" ht="15.75" customHeight="1">
      <c r="A118" s="11" t="s">
        <v>469</v>
      </c>
      <c r="B118" s="12" t="s">
        <v>467</v>
      </c>
      <c r="C118" s="12" t="s">
        <v>470</v>
      </c>
      <c r="D118" s="12" t="s">
        <v>462</v>
      </c>
    </row>
    <row r="119" ht="15.75" customHeight="1">
      <c r="A119" s="7" t="s">
        <v>471</v>
      </c>
      <c r="B119" s="8" t="s">
        <v>472</v>
      </c>
      <c r="C119" s="8" t="s">
        <v>473</v>
      </c>
      <c r="D119" s="8" t="s">
        <v>474</v>
      </c>
    </row>
    <row r="120" ht="15.75" customHeight="1">
      <c r="A120" s="11" t="s">
        <v>475</v>
      </c>
      <c r="B120" s="12" t="s">
        <v>467</v>
      </c>
      <c r="C120" s="12" t="s">
        <v>476</v>
      </c>
      <c r="D120" s="12" t="s">
        <v>477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D8:F8"/>
    <mergeCell ref="D9:F9"/>
    <mergeCell ref="D10:F10"/>
    <mergeCell ref="D11:F11"/>
    <mergeCell ref="D12:F12"/>
    <mergeCell ref="A113:F113"/>
    <mergeCell ref="B110:F110"/>
    <mergeCell ref="B109:F109"/>
    <mergeCell ref="B108:F108"/>
    <mergeCell ref="B106:F106"/>
    <mergeCell ref="B102:F102"/>
    <mergeCell ref="B105:F105"/>
    <mergeCell ref="B104:F104"/>
    <mergeCell ref="B103:F103"/>
    <mergeCell ref="B101:F101"/>
    <mergeCell ref="B99:F99"/>
    <mergeCell ref="A98:F98"/>
    <mergeCell ref="B100:F100"/>
    <mergeCell ref="B7:C7"/>
    <mergeCell ref="B8:C8"/>
    <mergeCell ref="B9:C9"/>
    <mergeCell ref="B10:C10"/>
    <mergeCell ref="B11:C11"/>
    <mergeCell ref="B12:C12"/>
    <mergeCell ref="B107:F107"/>
    <mergeCell ref="A1:F1"/>
    <mergeCell ref="A4:F4"/>
    <mergeCell ref="B5:C5"/>
    <mergeCell ref="D5:F5"/>
    <mergeCell ref="B6:C6"/>
    <mergeCell ref="D6:F6"/>
    <mergeCell ref="D7:F7"/>
  </mergeCells>
  <conditionalFormatting sqref="E15:E96">
    <cfRule type="cellIs" dxfId="0" priority="1" operator="equal">
      <formula>"TRUE"</formula>
    </cfRule>
  </conditionalFormatting>
  <conditionalFormatting sqref="E15:E96">
    <cfRule type="cellIs" dxfId="2" priority="2" operator="equal">
      <formula>"FALSE"</formula>
    </cfRule>
  </conditionalFormatting>
  <dataValidations>
    <dataValidation type="decimal" operator="greaterThanOrEqual" allowBlank="1" sqref="D15:D20 D41:D45 D64:D69 D84:D87 D94:D96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25"/>
    <col customWidth="1" min="2" max="2" width="29.75"/>
    <col customWidth="1" min="3" max="3" width="15.75"/>
    <col customWidth="1" min="4" max="4" width="17.5"/>
    <col customWidth="1" min="5" max="5" width="14.0"/>
    <col customWidth="1" min="6" max="6" width="26.25"/>
    <col customWidth="1" min="7" max="7" width="14.0"/>
    <col customWidth="1" min="8" max="8" width="33.25"/>
    <col customWidth="1" min="9" max="9" width="38.5"/>
    <col customWidth="1" min="10" max="10" width="10.5"/>
    <col customWidth="1" min="11" max="26" width="7.63"/>
  </cols>
  <sheetData>
    <row r="1" ht="31.5" customHeight="1">
      <c r="A1" s="19" t="s">
        <v>478</v>
      </c>
    </row>
    <row r="2">
      <c r="A2" s="32" t="s">
        <v>479</v>
      </c>
      <c r="B2" s="21"/>
      <c r="C2" s="21"/>
      <c r="D2" s="21"/>
      <c r="E2" s="21"/>
      <c r="F2" s="21"/>
      <c r="G2" s="21"/>
      <c r="H2" s="21"/>
      <c r="I2" s="21"/>
      <c r="J2" s="22"/>
    </row>
    <row r="3">
      <c r="A3" s="33" t="s">
        <v>480</v>
      </c>
      <c r="B3" s="33" t="s">
        <v>481</v>
      </c>
      <c r="C3" s="33" t="s">
        <v>482</v>
      </c>
      <c r="D3" s="33" t="s">
        <v>483</v>
      </c>
      <c r="E3" s="33" t="s">
        <v>484</v>
      </c>
      <c r="F3" s="33" t="s">
        <v>485</v>
      </c>
      <c r="G3" s="33" t="s">
        <v>486</v>
      </c>
      <c r="J3" s="33" t="s">
        <v>487</v>
      </c>
    </row>
    <row r="4">
      <c r="A4" s="5">
        <f>COUNTIF(G6:G20,"🎯 Target")</f>
        <v>15</v>
      </c>
      <c r="B4" s="5">
        <f>COUNTIF(G6:G20,"📄 Applied")</f>
        <v>0</v>
      </c>
      <c r="C4" s="5">
        <f>COUNTIF(G6:G20,"📞 Screening")</f>
        <v>0</v>
      </c>
      <c r="D4" s="5">
        <f>COUNTIF(G6:G20,"🎤 Interview")</f>
        <v>0</v>
      </c>
      <c r="E4" s="5">
        <f>COUNTIF(G6:G20,"💪 Offer")</f>
        <v>0</v>
      </c>
      <c r="F4" s="5">
        <f>COUNTIF(G6:G20,"❌ Rejected")</f>
        <v>0</v>
      </c>
      <c r="G4" s="5" t="str">
        <f>IFERROR(ROUND(E4/D4*100,0)&amp;"%","0%")</f>
        <v>0%</v>
      </c>
    </row>
    <row r="5">
      <c r="A5" s="6" t="s">
        <v>488</v>
      </c>
      <c r="B5" s="6" t="s">
        <v>489</v>
      </c>
      <c r="C5" s="6" t="s">
        <v>490</v>
      </c>
      <c r="D5" s="6" t="s">
        <v>491</v>
      </c>
      <c r="E5" s="6" t="s">
        <v>492</v>
      </c>
      <c r="F5" s="6" t="s">
        <v>493</v>
      </c>
      <c r="G5" s="6" t="s">
        <v>494</v>
      </c>
      <c r="H5" s="6" t="s">
        <v>495</v>
      </c>
      <c r="I5" s="6" t="s">
        <v>496</v>
      </c>
      <c r="J5" s="6" t="s">
        <v>497</v>
      </c>
    </row>
    <row r="6">
      <c r="A6" s="7" t="s">
        <v>498</v>
      </c>
      <c r="B6" s="8" t="s">
        <v>499</v>
      </c>
      <c r="C6" s="8" t="s">
        <v>500</v>
      </c>
      <c r="D6" s="8" t="s">
        <v>501</v>
      </c>
      <c r="E6" s="34"/>
      <c r="F6" s="8"/>
      <c r="G6" s="8" t="s">
        <v>480</v>
      </c>
      <c r="H6" s="8" t="s">
        <v>502</v>
      </c>
      <c r="I6" s="8" t="s">
        <v>503</v>
      </c>
      <c r="J6" s="8" t="str">
        <f t="shared" ref="J6:J20" si="1">IF(E6="","",TODAY()-E6)</f>
        <v/>
      </c>
    </row>
    <row r="7">
      <c r="A7" s="11" t="s">
        <v>504</v>
      </c>
      <c r="B7" s="12" t="s">
        <v>505</v>
      </c>
      <c r="C7" s="12" t="s">
        <v>506</v>
      </c>
      <c r="D7" s="12" t="s">
        <v>501</v>
      </c>
      <c r="E7" s="35"/>
      <c r="F7" s="12"/>
      <c r="G7" s="12" t="s">
        <v>480</v>
      </c>
      <c r="H7" s="12" t="s">
        <v>507</v>
      </c>
      <c r="I7" s="12" t="s">
        <v>508</v>
      </c>
      <c r="J7" s="12" t="str">
        <f t="shared" si="1"/>
        <v/>
      </c>
    </row>
    <row r="8">
      <c r="A8" s="7" t="s">
        <v>509</v>
      </c>
      <c r="B8" s="8" t="s">
        <v>499</v>
      </c>
      <c r="C8" s="8" t="s">
        <v>506</v>
      </c>
      <c r="D8" s="8" t="s">
        <v>501</v>
      </c>
      <c r="E8" s="34"/>
      <c r="F8" s="8"/>
      <c r="G8" s="8" t="s">
        <v>480</v>
      </c>
      <c r="H8" s="8" t="s">
        <v>510</v>
      </c>
      <c r="I8" s="8" t="s">
        <v>511</v>
      </c>
      <c r="J8" s="8" t="str">
        <f t="shared" si="1"/>
        <v/>
      </c>
    </row>
    <row r="9">
      <c r="A9" s="11" t="s">
        <v>512</v>
      </c>
      <c r="B9" s="12" t="s">
        <v>513</v>
      </c>
      <c r="C9" s="12" t="s">
        <v>506</v>
      </c>
      <c r="D9" s="12" t="s">
        <v>514</v>
      </c>
      <c r="E9" s="35"/>
      <c r="F9" s="12"/>
      <c r="G9" s="12" t="s">
        <v>480</v>
      </c>
      <c r="H9" s="12" t="s">
        <v>515</v>
      </c>
      <c r="I9" s="12" t="s">
        <v>516</v>
      </c>
      <c r="J9" s="12" t="str">
        <f t="shared" si="1"/>
        <v/>
      </c>
    </row>
    <row r="10">
      <c r="A10" s="7" t="s">
        <v>517</v>
      </c>
      <c r="B10" s="8" t="s">
        <v>499</v>
      </c>
      <c r="C10" s="8" t="s">
        <v>518</v>
      </c>
      <c r="D10" s="8" t="s">
        <v>501</v>
      </c>
      <c r="E10" s="34"/>
      <c r="F10" s="8"/>
      <c r="G10" s="8" t="s">
        <v>480</v>
      </c>
      <c r="H10" s="8" t="s">
        <v>519</v>
      </c>
      <c r="I10" s="8" t="s">
        <v>520</v>
      </c>
      <c r="J10" s="8" t="str">
        <f t="shared" si="1"/>
        <v/>
      </c>
    </row>
    <row r="11">
      <c r="A11" s="11" t="s">
        <v>521</v>
      </c>
      <c r="B11" s="12" t="s">
        <v>522</v>
      </c>
      <c r="C11" s="12" t="s">
        <v>506</v>
      </c>
      <c r="D11" s="12" t="s">
        <v>501</v>
      </c>
      <c r="E11" s="35"/>
      <c r="F11" s="12"/>
      <c r="G11" s="12" t="s">
        <v>480</v>
      </c>
      <c r="H11" s="12" t="s">
        <v>523</v>
      </c>
      <c r="I11" s="12" t="s">
        <v>524</v>
      </c>
      <c r="J11" s="12" t="str">
        <f t="shared" si="1"/>
        <v/>
      </c>
    </row>
    <row r="12">
      <c r="A12" s="7" t="s">
        <v>525</v>
      </c>
      <c r="B12" s="8" t="s">
        <v>499</v>
      </c>
      <c r="C12" s="8" t="s">
        <v>506</v>
      </c>
      <c r="D12" s="8" t="s">
        <v>501</v>
      </c>
      <c r="E12" s="34"/>
      <c r="F12" s="8"/>
      <c r="G12" s="8" t="s">
        <v>480</v>
      </c>
      <c r="H12" s="8" t="s">
        <v>526</v>
      </c>
      <c r="I12" s="8" t="s">
        <v>527</v>
      </c>
      <c r="J12" s="8" t="str">
        <f t="shared" si="1"/>
        <v/>
      </c>
    </row>
    <row r="13">
      <c r="A13" s="11" t="s">
        <v>528</v>
      </c>
      <c r="B13" s="12" t="s">
        <v>529</v>
      </c>
      <c r="C13" s="12" t="s">
        <v>506</v>
      </c>
      <c r="D13" s="12" t="s">
        <v>530</v>
      </c>
      <c r="E13" s="35"/>
      <c r="F13" s="12"/>
      <c r="G13" s="12" t="s">
        <v>480</v>
      </c>
      <c r="H13" s="12" t="s">
        <v>531</v>
      </c>
      <c r="I13" s="12" t="s">
        <v>532</v>
      </c>
      <c r="J13" s="12" t="str">
        <f t="shared" si="1"/>
        <v/>
      </c>
    </row>
    <row r="14">
      <c r="A14" s="7" t="s">
        <v>533</v>
      </c>
      <c r="B14" s="8" t="s">
        <v>499</v>
      </c>
      <c r="C14" s="8" t="s">
        <v>534</v>
      </c>
      <c r="D14" s="8" t="s">
        <v>535</v>
      </c>
      <c r="E14" s="34"/>
      <c r="F14" s="8"/>
      <c r="G14" s="8" t="s">
        <v>480</v>
      </c>
      <c r="H14" s="8" t="s">
        <v>536</v>
      </c>
      <c r="I14" s="8" t="s">
        <v>537</v>
      </c>
      <c r="J14" s="8" t="str">
        <f t="shared" si="1"/>
        <v/>
      </c>
    </row>
    <row r="15">
      <c r="A15" s="11" t="s">
        <v>538</v>
      </c>
      <c r="B15" s="12" t="s">
        <v>499</v>
      </c>
      <c r="C15" s="12" t="s">
        <v>539</v>
      </c>
      <c r="D15" s="12" t="s">
        <v>540</v>
      </c>
      <c r="E15" s="35"/>
      <c r="F15" s="12"/>
      <c r="G15" s="12" t="s">
        <v>480</v>
      </c>
      <c r="H15" s="12" t="s">
        <v>541</v>
      </c>
      <c r="I15" s="12" t="s">
        <v>542</v>
      </c>
      <c r="J15" s="12" t="str">
        <f t="shared" si="1"/>
        <v/>
      </c>
    </row>
    <row r="16">
      <c r="A16" s="7" t="s">
        <v>543</v>
      </c>
      <c r="B16" s="8" t="s">
        <v>499</v>
      </c>
      <c r="C16" s="8" t="s">
        <v>506</v>
      </c>
      <c r="D16" s="8" t="s">
        <v>544</v>
      </c>
      <c r="E16" s="34"/>
      <c r="F16" s="8"/>
      <c r="G16" s="8" t="s">
        <v>480</v>
      </c>
      <c r="H16" s="8" t="s">
        <v>545</v>
      </c>
      <c r="I16" s="8" t="s">
        <v>546</v>
      </c>
      <c r="J16" s="8" t="str">
        <f t="shared" si="1"/>
        <v/>
      </c>
    </row>
    <row r="17">
      <c r="A17" s="11" t="s">
        <v>547</v>
      </c>
      <c r="B17" s="12" t="s">
        <v>548</v>
      </c>
      <c r="C17" s="12" t="s">
        <v>549</v>
      </c>
      <c r="D17" s="12" t="s">
        <v>501</v>
      </c>
      <c r="E17" s="35"/>
      <c r="F17" s="12"/>
      <c r="G17" s="12" t="s">
        <v>480</v>
      </c>
      <c r="H17" s="12" t="s">
        <v>550</v>
      </c>
      <c r="I17" s="12" t="s">
        <v>551</v>
      </c>
      <c r="J17" s="12" t="str">
        <f t="shared" si="1"/>
        <v/>
      </c>
    </row>
    <row r="18">
      <c r="A18" s="7" t="s">
        <v>552</v>
      </c>
      <c r="B18" s="8" t="s">
        <v>499</v>
      </c>
      <c r="C18" s="8" t="s">
        <v>506</v>
      </c>
      <c r="D18" s="8" t="s">
        <v>553</v>
      </c>
      <c r="E18" s="34"/>
      <c r="F18" s="8"/>
      <c r="G18" s="8" t="s">
        <v>480</v>
      </c>
      <c r="H18" s="8" t="s">
        <v>554</v>
      </c>
      <c r="I18" s="8" t="s">
        <v>555</v>
      </c>
      <c r="J18" s="8" t="str">
        <f t="shared" si="1"/>
        <v/>
      </c>
    </row>
    <row r="19">
      <c r="A19" s="11" t="s">
        <v>556</v>
      </c>
      <c r="B19" s="12" t="s">
        <v>499</v>
      </c>
      <c r="C19" s="12" t="s">
        <v>557</v>
      </c>
      <c r="D19" s="12" t="s">
        <v>501</v>
      </c>
      <c r="E19" s="35"/>
      <c r="F19" s="12"/>
      <c r="G19" s="12" t="s">
        <v>480</v>
      </c>
      <c r="H19" s="12" t="s">
        <v>558</v>
      </c>
      <c r="I19" s="12" t="s">
        <v>559</v>
      </c>
      <c r="J19" s="12" t="str">
        <f t="shared" si="1"/>
        <v/>
      </c>
    </row>
    <row r="20">
      <c r="A20" s="7" t="s">
        <v>560</v>
      </c>
      <c r="B20" s="8" t="s">
        <v>561</v>
      </c>
      <c r="C20" s="8" t="s">
        <v>562</v>
      </c>
      <c r="D20" s="8" t="s">
        <v>501</v>
      </c>
      <c r="E20" s="34"/>
      <c r="F20" s="8"/>
      <c r="G20" s="8" t="s">
        <v>480</v>
      </c>
      <c r="H20" s="8" t="s">
        <v>563</v>
      </c>
      <c r="I20" s="8" t="s">
        <v>564</v>
      </c>
      <c r="J20" s="8" t="str">
        <f t="shared" si="1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G6:G20">
    <cfRule type="cellIs" dxfId="1" priority="1" operator="equal">
      <formula>"🎤 Interview"</formula>
    </cfRule>
  </conditionalFormatting>
  <conditionalFormatting sqref="G6:G20">
    <cfRule type="cellIs" dxfId="0" priority="2" operator="equal">
      <formula>"💪 Offer"</formula>
    </cfRule>
  </conditionalFormatting>
  <conditionalFormatting sqref="G6:G20">
    <cfRule type="cellIs" dxfId="2" priority="3" operator="equal">
      <formula>"❌ Rejected"</formula>
    </cfRule>
  </conditionalFormatting>
  <conditionalFormatting sqref="A6:J20">
    <cfRule type="expression" dxfId="3" priority="4">
      <formula>AND($G6="📄 Applied",$J6&gt;14)</formula>
    </cfRule>
  </conditionalFormatting>
  <dataValidations>
    <dataValidation type="list" allowBlank="1" sqref="G6:G20">
      <formula1>"🎯 Target,📄 Applied,📞 Screening,🎤 Interview,💪 Offer,❌ Rejected"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75"/>
    <col customWidth="1" min="2" max="2" width="14.0"/>
    <col customWidth="1" min="3" max="3" width="45.5"/>
    <col customWidth="1" min="4" max="4" width="42.0"/>
    <col customWidth="1" min="5" max="5" width="38.5"/>
    <col customWidth="1" min="6" max="6" width="12.25"/>
    <col customWidth="1" min="7" max="7" width="47.25"/>
    <col customWidth="1" min="8" max="8" width="10.5"/>
    <col customWidth="1" min="9" max="26" width="7.63"/>
  </cols>
  <sheetData>
    <row r="1" ht="31.5" customHeight="1">
      <c r="A1" s="19" t="s">
        <v>565</v>
      </c>
    </row>
    <row r="2">
      <c r="A2" s="33" t="s">
        <v>566</v>
      </c>
      <c r="B2" s="33" t="s">
        <v>7</v>
      </c>
      <c r="C2" s="33" t="s">
        <v>567</v>
      </c>
      <c r="D2" s="33" t="s">
        <v>568</v>
      </c>
    </row>
    <row r="3">
      <c r="A3" s="5">
        <f>COUNTA(A5:A9)</f>
        <v>5</v>
      </c>
      <c r="B3" s="5">
        <f>COUNTIF(G5:G9,"🔄 In Progress")</f>
        <v>0</v>
      </c>
      <c r="C3" s="5">
        <f>COUNTIF(G5:G9,"⬜ Draft Needed")</f>
        <v>0</v>
      </c>
      <c r="D3" s="5">
        <f>COUNTIF(G5:G9,"✅ Complete")</f>
        <v>0</v>
      </c>
    </row>
    <row r="4">
      <c r="A4" s="6" t="s">
        <v>569</v>
      </c>
      <c r="B4" s="6" t="s">
        <v>570</v>
      </c>
      <c r="C4" s="6" t="s">
        <v>571</v>
      </c>
      <c r="D4" s="6" t="s">
        <v>572</v>
      </c>
      <c r="E4" s="6" t="s">
        <v>573</v>
      </c>
      <c r="F4" s="6" t="s">
        <v>494</v>
      </c>
    </row>
    <row r="5">
      <c r="A5" s="7" t="s">
        <v>574</v>
      </c>
      <c r="B5" s="8" t="s">
        <v>575</v>
      </c>
      <c r="C5" s="8" t="s">
        <v>576</v>
      </c>
      <c r="D5" s="8" t="s">
        <v>577</v>
      </c>
      <c r="E5" s="8" t="s">
        <v>578</v>
      </c>
      <c r="F5" s="8" t="s">
        <v>7</v>
      </c>
    </row>
    <row r="6">
      <c r="A6" s="11" t="s">
        <v>579</v>
      </c>
      <c r="B6" s="12" t="s">
        <v>580</v>
      </c>
      <c r="C6" s="12" t="s">
        <v>581</v>
      </c>
      <c r="D6" s="12" t="s">
        <v>582</v>
      </c>
      <c r="E6" s="12" t="s">
        <v>583</v>
      </c>
      <c r="F6" s="12" t="s">
        <v>7</v>
      </c>
    </row>
    <row r="7">
      <c r="A7" s="7" t="s">
        <v>584</v>
      </c>
      <c r="B7" s="8" t="s">
        <v>585</v>
      </c>
      <c r="C7" s="8" t="s">
        <v>586</v>
      </c>
      <c r="D7" s="8" t="s">
        <v>587</v>
      </c>
      <c r="E7" s="8" t="s">
        <v>588</v>
      </c>
      <c r="F7" s="8" t="s">
        <v>567</v>
      </c>
    </row>
    <row r="8">
      <c r="A8" s="11" t="s">
        <v>589</v>
      </c>
      <c r="B8" s="12" t="s">
        <v>590</v>
      </c>
      <c r="C8" s="12" t="s">
        <v>591</v>
      </c>
      <c r="D8" s="12" t="s">
        <v>592</v>
      </c>
      <c r="E8" s="12" t="s">
        <v>593</v>
      </c>
      <c r="F8" s="12" t="s">
        <v>567</v>
      </c>
    </row>
    <row r="9">
      <c r="A9" s="7" t="s">
        <v>594</v>
      </c>
      <c r="B9" s="8" t="s">
        <v>595</v>
      </c>
      <c r="C9" s="8" t="s">
        <v>596</v>
      </c>
      <c r="D9" s="8" t="s">
        <v>597</v>
      </c>
      <c r="E9" s="8" t="s">
        <v>598</v>
      </c>
      <c r="F9" s="8" t="s">
        <v>567</v>
      </c>
    </row>
    <row r="11">
      <c r="A11" s="36" t="s">
        <v>599</v>
      </c>
    </row>
    <row r="12">
      <c r="A12" s="37" t="s">
        <v>600</v>
      </c>
      <c r="B12" s="37" t="s">
        <v>601</v>
      </c>
      <c r="C12" s="37" t="s">
        <v>14</v>
      </c>
      <c r="D12" s="37" t="s">
        <v>602</v>
      </c>
      <c r="E12" s="37" t="s">
        <v>603</v>
      </c>
      <c r="F12" s="37" t="s">
        <v>604</v>
      </c>
      <c r="G12" s="37" t="s">
        <v>605</v>
      </c>
      <c r="H12" s="37" t="s">
        <v>606</v>
      </c>
    </row>
    <row r="13">
      <c r="A13" s="7" t="s">
        <v>607</v>
      </c>
      <c r="B13" s="8" t="s">
        <v>608</v>
      </c>
      <c r="C13" s="8" t="s">
        <v>609</v>
      </c>
      <c r="D13" s="8" t="s">
        <v>610</v>
      </c>
      <c r="E13" s="8" t="s">
        <v>611</v>
      </c>
      <c r="F13" s="8" t="s">
        <v>612</v>
      </c>
      <c r="G13" s="8" t="s">
        <v>613</v>
      </c>
      <c r="H13" s="8">
        <f t="shared" ref="H13:H16" si="1">IF(AND(F13="H",E13="H"),9,IF(AND(F13="H",E13="M"),6,IF(AND(F13="M",E13="H"),6,IF(AND(F13="H",E13="L"),3,IF(AND(F13="L",E13="H"),3,IF(AND(F13="M",E13="M"),4,IF(AND(F13="L",E13="L"),1,IF(AND(F13="M",E13="L"),2,IF(AND(F13="L",E13="M"),2,"")))))))))</f>
        <v>6</v>
      </c>
    </row>
    <row r="14">
      <c r="A14" s="11" t="s">
        <v>614</v>
      </c>
      <c r="B14" s="12" t="s">
        <v>615</v>
      </c>
      <c r="C14" s="12" t="s">
        <v>616</v>
      </c>
      <c r="D14" s="12" t="s">
        <v>617</v>
      </c>
      <c r="E14" s="12" t="s">
        <v>618</v>
      </c>
      <c r="F14" s="12" t="s">
        <v>612</v>
      </c>
      <c r="G14" s="12" t="s">
        <v>619</v>
      </c>
      <c r="H14" s="12" t="str">
        <f t="shared" si="1"/>
        <v/>
      </c>
    </row>
    <row r="15">
      <c r="A15" s="7" t="s">
        <v>620</v>
      </c>
      <c r="B15" s="8" t="s">
        <v>621</v>
      </c>
      <c r="C15" s="8" t="s">
        <v>622</v>
      </c>
      <c r="D15" s="8" t="s">
        <v>623</v>
      </c>
      <c r="E15" s="8" t="s">
        <v>618</v>
      </c>
      <c r="F15" s="8" t="s">
        <v>611</v>
      </c>
      <c r="G15" s="8" t="s">
        <v>624</v>
      </c>
      <c r="H15" s="8" t="str">
        <f t="shared" si="1"/>
        <v/>
      </c>
    </row>
    <row r="16">
      <c r="A16" s="11" t="s">
        <v>625</v>
      </c>
      <c r="B16" s="12" t="s">
        <v>18</v>
      </c>
      <c r="C16" s="12" t="s">
        <v>626</v>
      </c>
      <c r="D16" s="12" t="s">
        <v>627</v>
      </c>
      <c r="E16" s="12" t="s">
        <v>618</v>
      </c>
      <c r="F16" s="12" t="s">
        <v>612</v>
      </c>
      <c r="G16" s="12" t="s">
        <v>628</v>
      </c>
      <c r="H16" s="12" t="str">
        <f t="shared" si="1"/>
        <v/>
      </c>
    </row>
    <row r="18">
      <c r="A18" s="38"/>
    </row>
    <row r="19">
      <c r="A19" s="38"/>
      <c r="B19" s="38"/>
      <c r="C19" s="38"/>
      <c r="D19" s="38"/>
      <c r="E19" s="38"/>
      <c r="F19" s="38"/>
      <c r="G19" s="38"/>
      <c r="H19" s="38"/>
    </row>
    <row r="20">
      <c r="A20" s="38"/>
      <c r="B20" s="38"/>
      <c r="C20" s="39"/>
      <c r="D20" s="39"/>
      <c r="E20" s="39"/>
      <c r="F20" s="39"/>
      <c r="G20" s="39"/>
      <c r="H20" s="40"/>
    </row>
    <row r="21" ht="15.75" customHeight="1">
      <c r="A21" s="38"/>
      <c r="B21" s="38"/>
      <c r="C21" s="39"/>
      <c r="D21" s="39"/>
      <c r="E21" s="39"/>
      <c r="F21" s="39"/>
      <c r="G21" s="39"/>
      <c r="H21" s="40"/>
    </row>
    <row r="22" ht="15.75" customHeight="1">
      <c r="A22" s="38"/>
      <c r="B22" s="38"/>
      <c r="C22" s="39"/>
      <c r="D22" s="39"/>
      <c r="E22" s="39"/>
      <c r="F22" s="39"/>
      <c r="G22" s="39"/>
      <c r="H22" s="40"/>
    </row>
    <row r="23" ht="15.75" customHeight="1">
      <c r="A23" s="38"/>
      <c r="B23" s="38"/>
      <c r="C23" s="39"/>
      <c r="D23" s="39"/>
      <c r="E23" s="39"/>
      <c r="F23" s="39"/>
      <c r="G23" s="39"/>
      <c r="H23" s="40"/>
    </row>
    <row r="24" ht="15.75" customHeight="1">
      <c r="A24" s="38"/>
      <c r="B24" s="38"/>
      <c r="C24" s="39"/>
      <c r="D24" s="39"/>
      <c r="E24" s="39"/>
      <c r="F24" s="39"/>
      <c r="G24" s="39"/>
      <c r="H24" s="40"/>
    </row>
    <row r="25" ht="15.75" customHeight="1">
      <c r="A25" s="38"/>
      <c r="B25" s="38"/>
      <c r="C25" s="39"/>
      <c r="D25" s="39"/>
      <c r="E25" s="39"/>
      <c r="F25" s="39"/>
      <c r="G25" s="39"/>
      <c r="H25" s="40"/>
    </row>
    <row r="26" ht="15.75" customHeight="1">
      <c r="A26" s="38"/>
      <c r="B26" s="38"/>
      <c r="C26" s="38"/>
      <c r="D26" s="38"/>
      <c r="E26" s="38"/>
      <c r="F26" s="38"/>
      <c r="G26" s="38"/>
      <c r="H26" s="38"/>
    </row>
    <row r="27" ht="15.75" customHeight="1">
      <c r="A27" s="38"/>
    </row>
    <row r="28" ht="15.75" customHeight="1">
      <c r="A28" s="38"/>
    </row>
    <row r="29" ht="15.75" customHeight="1">
      <c r="A29" s="38"/>
      <c r="B29" s="38"/>
      <c r="C29" s="39"/>
      <c r="D29" s="39"/>
      <c r="E29" s="39"/>
      <c r="F29" s="39"/>
      <c r="G29" s="39"/>
      <c r="H29" s="40"/>
    </row>
    <row r="30" ht="15.75" customHeight="1">
      <c r="A30" s="38"/>
      <c r="B30" s="38"/>
      <c r="C30" s="39"/>
      <c r="D30" s="39"/>
      <c r="E30" s="39"/>
      <c r="F30" s="39"/>
      <c r="G30" s="39"/>
      <c r="H30" s="40"/>
    </row>
    <row r="31" ht="15.75" customHeight="1">
      <c r="A31" s="38"/>
      <c r="B31" s="38"/>
      <c r="C31" s="39"/>
      <c r="D31" s="39"/>
      <c r="E31" s="39"/>
      <c r="F31" s="39"/>
      <c r="G31" s="39"/>
      <c r="H31" s="40"/>
    </row>
    <row r="32" ht="15.75" customHeight="1">
      <c r="A32" s="38"/>
      <c r="B32" s="38"/>
      <c r="C32" s="39"/>
      <c r="D32" s="39"/>
      <c r="E32" s="39"/>
      <c r="F32" s="39"/>
      <c r="G32" s="39"/>
      <c r="H32" s="40"/>
    </row>
    <row r="33" ht="15.75" customHeight="1">
      <c r="A33" s="38"/>
    </row>
    <row r="34" ht="15.75" customHeight="1">
      <c r="A34" s="38"/>
      <c r="B34" s="38"/>
      <c r="C34" s="39"/>
      <c r="D34" s="39"/>
      <c r="E34" s="39"/>
      <c r="F34" s="39"/>
      <c r="G34" s="39"/>
      <c r="H34" s="40"/>
    </row>
    <row r="35" ht="15.75" customHeight="1">
      <c r="A35" s="38"/>
      <c r="B35" s="38"/>
      <c r="C35" s="39"/>
      <c r="D35" s="39"/>
      <c r="E35" s="39"/>
      <c r="F35" s="39"/>
      <c r="G35" s="39"/>
      <c r="H35" s="40"/>
    </row>
    <row r="36" ht="15.75" customHeight="1">
      <c r="A36" s="38"/>
      <c r="B36" s="38"/>
      <c r="C36" s="39"/>
      <c r="D36" s="39"/>
      <c r="E36" s="39"/>
      <c r="F36" s="39"/>
      <c r="G36" s="39"/>
      <c r="H36" s="40"/>
    </row>
    <row r="37" ht="15.75" customHeight="1">
      <c r="A37" s="38"/>
      <c r="B37" s="38"/>
      <c r="C37" s="39"/>
      <c r="D37" s="39"/>
      <c r="E37" s="39"/>
      <c r="F37" s="39"/>
      <c r="G37" s="39"/>
      <c r="H37" s="40"/>
    </row>
    <row r="38" ht="15.75" customHeight="1">
      <c r="A38" s="38"/>
    </row>
    <row r="39" ht="15.75" customHeight="1">
      <c r="A39" s="38"/>
      <c r="B39" s="38"/>
      <c r="C39" s="39"/>
      <c r="D39" s="39"/>
      <c r="E39" s="39"/>
      <c r="F39" s="39"/>
      <c r="G39" s="39"/>
      <c r="H39" s="40"/>
    </row>
    <row r="40" ht="15.75" customHeight="1">
      <c r="A40" s="38"/>
      <c r="B40" s="38"/>
      <c r="C40" s="39"/>
      <c r="D40" s="39"/>
      <c r="E40" s="39"/>
      <c r="F40" s="39"/>
      <c r="G40" s="39"/>
      <c r="H40" s="40"/>
    </row>
    <row r="41" ht="15.75" customHeight="1">
      <c r="A41" s="38"/>
      <c r="B41" s="38"/>
      <c r="C41" s="39"/>
      <c r="D41" s="39"/>
      <c r="E41" s="39"/>
      <c r="F41" s="39"/>
      <c r="G41" s="39"/>
      <c r="H41" s="40"/>
    </row>
    <row r="42" ht="15.75" customHeight="1">
      <c r="A42" s="38"/>
      <c r="B42" s="38"/>
      <c r="C42" s="39"/>
      <c r="D42" s="39"/>
      <c r="E42" s="39"/>
      <c r="F42" s="39"/>
      <c r="G42" s="39"/>
      <c r="H42" s="40"/>
    </row>
    <row r="43" ht="15.75" customHeight="1">
      <c r="A43" s="38"/>
      <c r="B43" s="38"/>
      <c r="C43" s="39"/>
      <c r="D43" s="39"/>
      <c r="E43" s="39"/>
      <c r="F43" s="39"/>
      <c r="G43" s="39"/>
      <c r="H43" s="40"/>
    </row>
    <row r="44" ht="15.75" customHeight="1">
      <c r="A44" s="38"/>
      <c r="B44" s="38"/>
      <c r="C44" s="39"/>
      <c r="D44" s="39"/>
      <c r="E44" s="39"/>
      <c r="F44" s="39"/>
      <c r="G44" s="39"/>
      <c r="H44" s="40"/>
    </row>
    <row r="45" ht="15.75" customHeight="1">
      <c r="A45" s="38"/>
      <c r="B45" s="38"/>
      <c r="C45" s="39"/>
      <c r="D45" s="39"/>
      <c r="E45" s="39"/>
      <c r="F45" s="39"/>
      <c r="G45" s="39"/>
      <c r="H45" s="40"/>
    </row>
    <row r="46" ht="15.75" customHeight="1">
      <c r="A46" s="38"/>
      <c r="B46" s="38"/>
      <c r="C46" s="38"/>
      <c r="D46" s="38"/>
      <c r="E46" s="38"/>
      <c r="F46" s="38"/>
      <c r="G46" s="38"/>
      <c r="H46" s="38"/>
    </row>
    <row r="47" ht="15.75" customHeight="1">
      <c r="A47" s="38"/>
    </row>
    <row r="48" ht="15.75" customHeight="1">
      <c r="A48" s="38"/>
      <c r="B48" s="38"/>
      <c r="C48" s="39"/>
      <c r="D48" s="39"/>
      <c r="E48" s="39"/>
      <c r="F48" s="39"/>
      <c r="G48" s="39"/>
      <c r="H48" s="40"/>
    </row>
    <row r="49" ht="15.75" customHeight="1">
      <c r="A49" s="38"/>
      <c r="B49" s="38"/>
      <c r="C49" s="39"/>
      <c r="D49" s="39"/>
      <c r="E49" s="39"/>
      <c r="F49" s="39"/>
      <c r="G49" s="39"/>
      <c r="H49" s="40"/>
    </row>
    <row r="50" ht="15.75" customHeight="1">
      <c r="A50" s="38"/>
      <c r="B50" s="38"/>
      <c r="C50" s="39"/>
      <c r="D50" s="39"/>
      <c r="E50" s="39"/>
      <c r="F50" s="39"/>
      <c r="G50" s="39"/>
      <c r="H50" s="40"/>
    </row>
    <row r="51" ht="15.75" customHeight="1">
      <c r="A51" s="38"/>
      <c r="B51" s="38"/>
      <c r="C51" s="39"/>
      <c r="D51" s="39"/>
      <c r="E51" s="39"/>
      <c r="F51" s="39"/>
      <c r="G51" s="39"/>
      <c r="H51" s="40"/>
    </row>
    <row r="52" ht="15.75" customHeight="1">
      <c r="A52" s="38"/>
      <c r="B52" s="38"/>
      <c r="C52" s="39"/>
      <c r="D52" s="39"/>
      <c r="E52" s="39"/>
      <c r="F52" s="39"/>
      <c r="G52" s="39"/>
      <c r="H52" s="40"/>
    </row>
    <row r="53" ht="15.75" customHeight="1">
      <c r="A53" s="38"/>
      <c r="B53" s="38"/>
      <c r="C53" s="39"/>
      <c r="D53" s="39"/>
      <c r="E53" s="39"/>
      <c r="F53" s="39"/>
      <c r="G53" s="39"/>
      <c r="H53" s="40"/>
    </row>
    <row r="54" ht="15.75" customHeight="1">
      <c r="A54" s="38"/>
      <c r="B54" s="38"/>
      <c r="C54" s="39"/>
      <c r="D54" s="39"/>
      <c r="E54" s="39"/>
      <c r="F54" s="39"/>
      <c r="G54" s="39"/>
      <c r="H54" s="40"/>
    </row>
    <row r="55" ht="15.75" customHeight="1">
      <c r="A55" s="38"/>
      <c r="B55" s="38"/>
      <c r="C55" s="39"/>
      <c r="D55" s="39"/>
      <c r="E55" s="39"/>
      <c r="F55" s="39"/>
      <c r="G55" s="39"/>
      <c r="H55" s="40"/>
    </row>
    <row r="56" ht="15.75" customHeight="1">
      <c r="A56" s="38"/>
      <c r="B56" s="38"/>
      <c r="C56" s="39"/>
      <c r="D56" s="39"/>
      <c r="E56" s="39"/>
      <c r="F56" s="39"/>
      <c r="G56" s="39"/>
      <c r="H56" s="40"/>
    </row>
    <row r="57" ht="15.75" customHeight="1">
      <c r="A57" s="38"/>
      <c r="B57" s="38"/>
      <c r="C57" s="39"/>
      <c r="D57" s="39"/>
      <c r="E57" s="39"/>
      <c r="F57" s="39"/>
      <c r="G57" s="39"/>
      <c r="H57" s="40"/>
    </row>
    <row r="58" ht="15.75" customHeight="1">
      <c r="A58" s="38"/>
      <c r="B58" s="38"/>
      <c r="C58" s="39"/>
      <c r="D58" s="39"/>
      <c r="E58" s="39"/>
      <c r="F58" s="39"/>
      <c r="G58" s="39"/>
      <c r="H58" s="40"/>
    </row>
    <row r="59" ht="15.75" customHeight="1">
      <c r="A59" s="38"/>
      <c r="B59" s="38"/>
      <c r="C59" s="39"/>
      <c r="D59" s="39"/>
      <c r="E59" s="39"/>
      <c r="F59" s="39"/>
      <c r="G59" s="39"/>
      <c r="H59" s="4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1:H1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5"/>
    <col customWidth="1" min="2" max="8" width="15.75"/>
    <col customWidth="1" min="9" max="26" width="7.63"/>
  </cols>
  <sheetData>
    <row r="1" ht="36.0" customHeight="1">
      <c r="A1" s="1" t="s">
        <v>629</v>
      </c>
    </row>
    <row r="2">
      <c r="A2" s="41" t="s">
        <v>630</v>
      </c>
    </row>
    <row r="4">
      <c r="A4" s="42" t="s">
        <v>631</v>
      </c>
      <c r="B4" s="21"/>
      <c r="C4" s="21"/>
      <c r="D4" s="21"/>
      <c r="E4" s="21"/>
      <c r="F4" s="21"/>
      <c r="G4" s="21"/>
      <c r="H4" s="22"/>
    </row>
    <row r="5">
      <c r="A5" s="27" t="s">
        <v>632</v>
      </c>
      <c r="B5" s="28" t="s">
        <v>633</v>
      </c>
      <c r="C5" s="21"/>
      <c r="D5" s="21"/>
      <c r="E5" s="21"/>
      <c r="F5" s="21"/>
      <c r="G5" s="21"/>
      <c r="H5" s="22"/>
    </row>
    <row r="6">
      <c r="A6" s="27" t="s">
        <v>634</v>
      </c>
      <c r="B6" s="28" t="s">
        <v>635</v>
      </c>
      <c r="C6" s="21"/>
      <c r="D6" s="21"/>
      <c r="E6" s="21"/>
      <c r="F6" s="21"/>
      <c r="G6" s="21"/>
      <c r="H6" s="22"/>
    </row>
    <row r="7">
      <c r="A7" s="27" t="s">
        <v>636</v>
      </c>
      <c r="B7" s="28" t="s">
        <v>637</v>
      </c>
      <c r="C7" s="21"/>
      <c r="D7" s="21"/>
      <c r="E7" s="21"/>
      <c r="F7" s="21"/>
      <c r="G7" s="21"/>
      <c r="H7" s="22"/>
    </row>
    <row r="8">
      <c r="A8" s="27" t="s">
        <v>638</v>
      </c>
      <c r="B8" s="28" t="s">
        <v>639</v>
      </c>
      <c r="C8" s="21"/>
      <c r="D8" s="21"/>
      <c r="E8" s="21"/>
      <c r="F8" s="21"/>
      <c r="G8" s="21"/>
      <c r="H8" s="22"/>
    </row>
    <row r="9">
      <c r="A9" s="27" t="s">
        <v>640</v>
      </c>
      <c r="B9" s="28" t="s">
        <v>641</v>
      </c>
      <c r="C9" s="21"/>
      <c r="D9" s="21"/>
      <c r="E9" s="21"/>
      <c r="F9" s="21"/>
      <c r="G9" s="21"/>
      <c r="H9" s="22"/>
    </row>
    <row r="10">
      <c r="A10" s="27" t="s">
        <v>642</v>
      </c>
      <c r="B10" s="28" t="s">
        <v>643</v>
      </c>
      <c r="C10" s="21"/>
      <c r="D10" s="21"/>
      <c r="E10" s="21"/>
      <c r="F10" s="21"/>
      <c r="G10" s="21"/>
      <c r="H10" s="22"/>
    </row>
    <row r="11">
      <c r="A11" s="27" t="s">
        <v>644</v>
      </c>
      <c r="B11" s="28" t="s">
        <v>645</v>
      </c>
      <c r="C11" s="21"/>
      <c r="D11" s="21"/>
      <c r="E11" s="21"/>
      <c r="F11" s="21"/>
      <c r="G11" s="21"/>
      <c r="H11" s="22"/>
    </row>
    <row r="13">
      <c r="A13" s="42" t="s">
        <v>646</v>
      </c>
      <c r="B13" s="21"/>
      <c r="C13" s="21"/>
      <c r="D13" s="21"/>
      <c r="E13" s="21"/>
      <c r="F13" s="21"/>
      <c r="G13" s="21"/>
      <c r="H13" s="22"/>
    </row>
    <row r="14">
      <c r="A14" s="6" t="s">
        <v>647</v>
      </c>
      <c r="B14" s="6" t="s">
        <v>648</v>
      </c>
      <c r="C14" s="6" t="s">
        <v>649</v>
      </c>
      <c r="D14" s="6" t="s">
        <v>650</v>
      </c>
    </row>
    <row r="15">
      <c r="A15" s="27" t="s">
        <v>651</v>
      </c>
      <c r="B15" s="43" t="s">
        <v>652</v>
      </c>
      <c r="C15" s="43" t="s">
        <v>652</v>
      </c>
      <c r="D15" s="43" t="s">
        <v>652</v>
      </c>
    </row>
    <row r="16">
      <c r="A16" s="27" t="s">
        <v>653</v>
      </c>
      <c r="B16" s="43" t="s">
        <v>652</v>
      </c>
      <c r="C16" s="43" t="s">
        <v>652</v>
      </c>
      <c r="D16" s="43" t="s">
        <v>652</v>
      </c>
    </row>
    <row r="17">
      <c r="A17" s="27" t="s">
        <v>654</v>
      </c>
      <c r="B17" s="43" t="s">
        <v>652</v>
      </c>
      <c r="C17" s="43" t="s">
        <v>652</v>
      </c>
      <c r="D17" s="43" t="s">
        <v>652</v>
      </c>
    </row>
    <row r="18">
      <c r="A18" s="27" t="s">
        <v>655</v>
      </c>
      <c r="B18" s="43" t="s">
        <v>652</v>
      </c>
      <c r="C18" s="43" t="s">
        <v>652</v>
      </c>
      <c r="D18" s="43" t="s">
        <v>652</v>
      </c>
    </row>
    <row r="19">
      <c r="A19" s="27" t="s">
        <v>656</v>
      </c>
      <c r="B19" s="43" t="s">
        <v>652</v>
      </c>
      <c r="C19" s="43" t="s">
        <v>652</v>
      </c>
      <c r="D19" s="43" t="s">
        <v>652</v>
      </c>
    </row>
    <row r="21" ht="15.75" customHeight="1">
      <c r="A21" s="42" t="s">
        <v>657</v>
      </c>
      <c r="B21" s="21"/>
      <c r="C21" s="21"/>
      <c r="D21" s="21"/>
      <c r="E21" s="21"/>
      <c r="F21" s="21"/>
      <c r="G21" s="21"/>
      <c r="H21" s="22"/>
    </row>
    <row r="22" ht="15.75" customHeight="1">
      <c r="A22" s="6" t="s">
        <v>658</v>
      </c>
      <c r="B22" s="6" t="s">
        <v>659</v>
      </c>
      <c r="C22" s="6" t="s">
        <v>660</v>
      </c>
      <c r="D22" s="6" t="s">
        <v>16</v>
      </c>
      <c r="E22" s="6" t="s">
        <v>661</v>
      </c>
    </row>
    <row r="23" ht="15.75" customHeight="1">
      <c r="A23" s="27" t="s">
        <v>662</v>
      </c>
      <c r="B23" s="43" t="s">
        <v>652</v>
      </c>
      <c r="C23" s="43" t="s">
        <v>652</v>
      </c>
      <c r="D23" s="43" t="s">
        <v>663</v>
      </c>
      <c r="E23" s="43" t="s">
        <v>652</v>
      </c>
    </row>
    <row r="24" ht="15.75" customHeight="1">
      <c r="A24" s="27" t="s">
        <v>664</v>
      </c>
      <c r="B24" s="43" t="s">
        <v>652</v>
      </c>
      <c r="C24" s="43" t="s">
        <v>652</v>
      </c>
      <c r="D24" s="43" t="s">
        <v>663</v>
      </c>
      <c r="E24" s="43" t="s">
        <v>652</v>
      </c>
    </row>
    <row r="25" ht="15.75" customHeight="1">
      <c r="A25" s="27" t="s">
        <v>665</v>
      </c>
      <c r="B25" s="43" t="s">
        <v>652</v>
      </c>
      <c r="C25" s="43" t="s">
        <v>652</v>
      </c>
      <c r="D25" s="43" t="s">
        <v>663</v>
      </c>
      <c r="E25" s="43" t="s">
        <v>652</v>
      </c>
    </row>
    <row r="26" ht="15.75" customHeight="1">
      <c r="A26" s="27" t="s">
        <v>666</v>
      </c>
      <c r="B26" s="43" t="s">
        <v>652</v>
      </c>
      <c r="C26" s="43" t="s">
        <v>652</v>
      </c>
      <c r="D26" s="43" t="s">
        <v>663</v>
      </c>
      <c r="E26" s="43" t="s">
        <v>652</v>
      </c>
    </row>
    <row r="27" ht="15.75" customHeight="1">
      <c r="A27" s="27" t="s">
        <v>667</v>
      </c>
      <c r="B27" s="43" t="s">
        <v>652</v>
      </c>
      <c r="C27" s="43" t="s">
        <v>652</v>
      </c>
      <c r="D27" s="43" t="s">
        <v>663</v>
      </c>
      <c r="E27" s="43" t="s">
        <v>652</v>
      </c>
    </row>
    <row r="28" ht="15.75" customHeight="1">
      <c r="A28" s="27" t="s">
        <v>668</v>
      </c>
      <c r="B28" s="43" t="s">
        <v>652</v>
      </c>
      <c r="C28" s="43" t="s">
        <v>652</v>
      </c>
      <c r="D28" s="43" t="s">
        <v>663</v>
      </c>
      <c r="E28" s="43" t="s">
        <v>652</v>
      </c>
    </row>
    <row r="29" ht="15.75" customHeight="1">
      <c r="A29" s="27" t="s">
        <v>669</v>
      </c>
      <c r="B29" s="43" t="s">
        <v>652</v>
      </c>
      <c r="C29" s="43" t="s">
        <v>652</v>
      </c>
      <c r="D29" s="43" t="s">
        <v>663</v>
      </c>
      <c r="E29" s="43" t="s">
        <v>652</v>
      </c>
    </row>
    <row r="30" ht="15.75" customHeight="1"/>
    <row r="31" ht="15.75" customHeight="1">
      <c r="A31" s="44" t="s">
        <v>670</v>
      </c>
      <c r="B31" s="21"/>
      <c r="C31" s="21"/>
      <c r="D31" s="21"/>
      <c r="E31" s="21"/>
      <c r="F31" s="21"/>
      <c r="G31" s="21"/>
      <c r="H31" s="22"/>
    </row>
    <row r="32" ht="27.75" customHeight="1">
      <c r="A32" s="27" t="s">
        <v>671</v>
      </c>
      <c r="B32" s="28" t="s">
        <v>652</v>
      </c>
      <c r="C32" s="21"/>
      <c r="D32" s="21"/>
      <c r="E32" s="21"/>
      <c r="F32" s="21"/>
      <c r="G32" s="21"/>
      <c r="H32" s="22"/>
    </row>
    <row r="33" ht="27.75" customHeight="1">
      <c r="A33" s="27" t="s">
        <v>672</v>
      </c>
      <c r="B33" s="28" t="s">
        <v>652</v>
      </c>
      <c r="C33" s="21"/>
      <c r="D33" s="21"/>
      <c r="E33" s="21"/>
      <c r="F33" s="21"/>
      <c r="G33" s="21"/>
      <c r="H33" s="22"/>
    </row>
    <row r="34" ht="27.75" customHeight="1">
      <c r="A34" s="27" t="s">
        <v>673</v>
      </c>
      <c r="B34" s="28" t="s">
        <v>652</v>
      </c>
      <c r="C34" s="21"/>
      <c r="D34" s="21"/>
      <c r="E34" s="21"/>
      <c r="F34" s="21"/>
      <c r="G34" s="21"/>
      <c r="H34" s="22"/>
    </row>
    <row r="35" ht="27.75" customHeight="1">
      <c r="A35" s="27" t="s">
        <v>642</v>
      </c>
      <c r="B35" s="28" t="s">
        <v>652</v>
      </c>
      <c r="C35" s="21"/>
      <c r="D35" s="21"/>
      <c r="E35" s="21"/>
      <c r="F35" s="21"/>
      <c r="G35" s="21"/>
      <c r="H35" s="22"/>
    </row>
    <row r="36" ht="15.75" customHeight="1">
      <c r="A36" s="44" t="s">
        <v>674</v>
      </c>
      <c r="B36" s="21"/>
      <c r="C36" s="21"/>
      <c r="D36" s="21"/>
      <c r="E36" s="21"/>
      <c r="F36" s="21"/>
      <c r="G36" s="21"/>
      <c r="H36" s="22"/>
    </row>
    <row r="37" ht="15.75" customHeight="1">
      <c r="A37" s="27" t="s">
        <v>671</v>
      </c>
      <c r="B37" s="28" t="s">
        <v>652</v>
      </c>
      <c r="C37" s="21"/>
      <c r="D37" s="21"/>
      <c r="E37" s="21"/>
      <c r="F37" s="21"/>
      <c r="G37" s="21"/>
      <c r="H37" s="22"/>
    </row>
    <row r="38" ht="15.75" customHeight="1">
      <c r="A38" s="27" t="s">
        <v>672</v>
      </c>
      <c r="B38" s="28" t="s">
        <v>652</v>
      </c>
      <c r="C38" s="21"/>
      <c r="D38" s="21"/>
      <c r="E38" s="21"/>
      <c r="F38" s="21"/>
      <c r="G38" s="21"/>
      <c r="H38" s="22"/>
    </row>
    <row r="39" ht="15.75" customHeight="1">
      <c r="A39" s="27" t="s">
        <v>673</v>
      </c>
      <c r="B39" s="28" t="s">
        <v>652</v>
      </c>
      <c r="C39" s="21"/>
      <c r="D39" s="21"/>
      <c r="E39" s="21"/>
      <c r="F39" s="21"/>
      <c r="G39" s="21"/>
      <c r="H39" s="22"/>
    </row>
    <row r="40" ht="15.75" customHeight="1">
      <c r="A40" s="27" t="s">
        <v>642</v>
      </c>
      <c r="B40" s="28" t="s">
        <v>652</v>
      </c>
      <c r="C40" s="21"/>
      <c r="D40" s="21"/>
      <c r="E40" s="21"/>
      <c r="F40" s="21"/>
      <c r="G40" s="21"/>
      <c r="H40" s="22"/>
    </row>
    <row r="41" ht="15.75" customHeight="1"/>
    <row r="42" ht="15.75" customHeight="1">
      <c r="A42" s="42" t="s">
        <v>675</v>
      </c>
      <c r="B42" s="21"/>
      <c r="C42" s="21"/>
      <c r="D42" s="21"/>
      <c r="E42" s="21"/>
      <c r="F42" s="21"/>
      <c r="G42" s="21"/>
      <c r="H42" s="22"/>
    </row>
    <row r="43" ht="15.75" customHeight="1">
      <c r="A43" s="6" t="s">
        <v>676</v>
      </c>
      <c r="B43" s="6" t="s">
        <v>677</v>
      </c>
      <c r="C43" s="6" t="s">
        <v>678</v>
      </c>
      <c r="D43" s="6" t="s">
        <v>604</v>
      </c>
    </row>
    <row r="44" ht="15.75" customHeight="1">
      <c r="A44" s="27" t="s">
        <v>679</v>
      </c>
      <c r="B44" s="43" t="s">
        <v>652</v>
      </c>
      <c r="C44" s="43" t="s">
        <v>652</v>
      </c>
      <c r="D44" s="43" t="s">
        <v>652</v>
      </c>
    </row>
    <row r="45" ht="15.75" customHeight="1">
      <c r="A45" s="27" t="s">
        <v>680</v>
      </c>
      <c r="B45" s="43" t="s">
        <v>652</v>
      </c>
      <c r="C45" s="43" t="s">
        <v>652</v>
      </c>
      <c r="D45" s="43" t="s">
        <v>652</v>
      </c>
    </row>
    <row r="46" ht="15.75" customHeight="1"/>
    <row r="47" ht="15.75" customHeight="1">
      <c r="A47" s="42" t="s">
        <v>681</v>
      </c>
      <c r="B47" s="21"/>
      <c r="C47" s="21"/>
      <c r="D47" s="21"/>
      <c r="E47" s="21"/>
      <c r="F47" s="21"/>
      <c r="G47" s="21"/>
      <c r="H47" s="22"/>
    </row>
    <row r="48" ht="15.75" customHeight="1">
      <c r="A48" s="27" t="s">
        <v>682</v>
      </c>
      <c r="B48" s="28" t="s">
        <v>683</v>
      </c>
      <c r="C48" s="21"/>
      <c r="D48" s="21"/>
      <c r="E48" s="21"/>
      <c r="F48" s="21"/>
      <c r="G48" s="21"/>
      <c r="H48" s="22"/>
    </row>
    <row r="49" ht="15.75" customHeight="1">
      <c r="A49" s="27" t="s">
        <v>684</v>
      </c>
      <c r="B49" s="28" t="s">
        <v>685</v>
      </c>
      <c r="C49" s="21"/>
      <c r="D49" s="21"/>
      <c r="E49" s="21"/>
      <c r="F49" s="21"/>
      <c r="G49" s="21"/>
      <c r="H49" s="22"/>
    </row>
    <row r="50" ht="15.75" customHeight="1">
      <c r="A50" s="27" t="s">
        <v>686</v>
      </c>
      <c r="B50" s="28" t="s">
        <v>685</v>
      </c>
      <c r="C50" s="21"/>
      <c r="D50" s="21"/>
      <c r="E50" s="21"/>
      <c r="F50" s="21"/>
      <c r="G50" s="21"/>
      <c r="H50" s="22"/>
    </row>
    <row r="51" ht="15.75" customHeight="1">
      <c r="A51" s="27" t="s">
        <v>687</v>
      </c>
      <c r="B51" s="28" t="s">
        <v>688</v>
      </c>
      <c r="C51" s="21"/>
      <c r="D51" s="21"/>
      <c r="E51" s="21"/>
      <c r="F51" s="21"/>
      <c r="G51" s="21"/>
      <c r="H51" s="22"/>
    </row>
    <row r="52" ht="15.75" customHeight="1">
      <c r="A52" s="27" t="s">
        <v>689</v>
      </c>
      <c r="B52" s="28" t="s">
        <v>690</v>
      </c>
      <c r="C52" s="21"/>
      <c r="D52" s="21"/>
      <c r="E52" s="21"/>
      <c r="F52" s="21"/>
      <c r="G52" s="21"/>
      <c r="H52" s="22"/>
    </row>
    <row r="53" ht="15.75" customHeight="1">
      <c r="A53" s="27" t="s">
        <v>691</v>
      </c>
      <c r="B53" s="28" t="s">
        <v>692</v>
      </c>
      <c r="C53" s="21"/>
      <c r="D53" s="21"/>
      <c r="E53" s="21"/>
      <c r="F53" s="21"/>
      <c r="G53" s="21"/>
      <c r="H53" s="22"/>
    </row>
    <row r="54" ht="15.75" customHeight="1">
      <c r="A54" s="27" t="s">
        <v>693</v>
      </c>
      <c r="B54" s="28" t="s">
        <v>652</v>
      </c>
      <c r="C54" s="21"/>
      <c r="D54" s="21"/>
      <c r="E54" s="21"/>
      <c r="F54" s="21"/>
      <c r="G54" s="21"/>
      <c r="H54" s="22"/>
    </row>
    <row r="55" ht="15.75" customHeight="1">
      <c r="A55" s="27" t="s">
        <v>694</v>
      </c>
      <c r="B55" s="28" t="s">
        <v>652</v>
      </c>
      <c r="C55" s="21"/>
      <c r="D55" s="21"/>
      <c r="E55" s="21"/>
      <c r="F55" s="21"/>
      <c r="G55" s="21"/>
      <c r="H55" s="22"/>
    </row>
    <row r="56" ht="15.75" customHeight="1"/>
    <row r="57" ht="15.75" customHeight="1">
      <c r="A57" s="45" t="s">
        <v>695</v>
      </c>
      <c r="B57" s="21"/>
      <c r="C57" s="21"/>
      <c r="D57" s="21"/>
      <c r="E57" s="21"/>
      <c r="F57" s="21"/>
      <c r="G57" s="21"/>
      <c r="H57" s="22"/>
    </row>
    <row r="58" ht="15.75" customHeight="1">
      <c r="A58" s="27" t="s">
        <v>632</v>
      </c>
      <c r="B58" s="28" t="s">
        <v>696</v>
      </c>
      <c r="C58" s="21"/>
      <c r="D58" s="21"/>
      <c r="E58" s="21"/>
      <c r="F58" s="21"/>
      <c r="G58" s="21"/>
      <c r="H58" s="22"/>
    </row>
    <row r="59" ht="15.75" customHeight="1">
      <c r="A59" s="27" t="s">
        <v>634</v>
      </c>
      <c r="B59" s="28" t="s">
        <v>697</v>
      </c>
      <c r="C59" s="21"/>
      <c r="D59" s="21"/>
      <c r="E59" s="21"/>
      <c r="F59" s="21"/>
      <c r="G59" s="21"/>
      <c r="H59" s="22"/>
    </row>
    <row r="60" ht="15.75" customHeight="1">
      <c r="A60" s="27" t="s">
        <v>636</v>
      </c>
      <c r="B60" s="28" t="s">
        <v>698</v>
      </c>
      <c r="C60" s="21"/>
      <c r="D60" s="21"/>
      <c r="E60" s="21"/>
      <c r="F60" s="21"/>
      <c r="G60" s="21"/>
      <c r="H60" s="22"/>
    </row>
    <row r="61" ht="15.75" customHeight="1">
      <c r="A61" s="27" t="s">
        <v>638</v>
      </c>
      <c r="B61" s="28" t="s">
        <v>699</v>
      </c>
      <c r="C61" s="21"/>
      <c r="D61" s="21"/>
      <c r="E61" s="21"/>
      <c r="F61" s="21"/>
      <c r="G61" s="21"/>
      <c r="H61" s="22"/>
    </row>
    <row r="62" ht="15.75" customHeight="1">
      <c r="A62" s="46" t="s">
        <v>700</v>
      </c>
      <c r="B62" s="47" t="s">
        <v>701</v>
      </c>
      <c r="C62" s="21"/>
      <c r="D62" s="21"/>
      <c r="E62" s="21"/>
      <c r="F62" s="21"/>
      <c r="G62" s="21"/>
      <c r="H62" s="22"/>
    </row>
    <row r="63" ht="15.75" customHeight="1">
      <c r="A63" s="46" t="s">
        <v>672</v>
      </c>
      <c r="B63" s="47" t="s">
        <v>702</v>
      </c>
      <c r="C63" s="21"/>
      <c r="D63" s="21"/>
      <c r="E63" s="21"/>
      <c r="F63" s="21"/>
      <c r="G63" s="21"/>
      <c r="H63" s="22"/>
    </row>
    <row r="64" ht="15.75" customHeight="1">
      <c r="A64" s="46" t="s">
        <v>673</v>
      </c>
      <c r="B64" s="47" t="s">
        <v>703</v>
      </c>
      <c r="C64" s="21"/>
      <c r="D64" s="21"/>
      <c r="E64" s="21"/>
      <c r="F64" s="21"/>
      <c r="G64" s="21"/>
      <c r="H64" s="22"/>
    </row>
    <row r="65" ht="15.75" customHeight="1">
      <c r="A65" s="46" t="s">
        <v>642</v>
      </c>
      <c r="B65" s="47" t="s">
        <v>704</v>
      </c>
      <c r="C65" s="21"/>
      <c r="D65" s="21"/>
      <c r="E65" s="21"/>
      <c r="F65" s="21"/>
      <c r="G65" s="21"/>
      <c r="H65" s="22"/>
    </row>
    <row r="66" ht="15.75" customHeight="1">
      <c r="A66" s="46" t="s">
        <v>705</v>
      </c>
      <c r="B66" s="47" t="s">
        <v>706</v>
      </c>
      <c r="C66" s="21"/>
      <c r="D66" s="21"/>
      <c r="E66" s="21"/>
      <c r="F66" s="21"/>
      <c r="G66" s="21"/>
      <c r="H66" s="22"/>
    </row>
    <row r="67" ht="15.75" customHeight="1">
      <c r="A67" s="46" t="s">
        <v>672</v>
      </c>
      <c r="B67" s="47" t="s">
        <v>707</v>
      </c>
      <c r="C67" s="21"/>
      <c r="D67" s="21"/>
      <c r="E67" s="21"/>
      <c r="F67" s="21"/>
      <c r="G67" s="21"/>
      <c r="H67" s="22"/>
    </row>
    <row r="68" ht="15.75" customHeight="1">
      <c r="A68" s="46" t="s">
        <v>673</v>
      </c>
      <c r="B68" s="47" t="s">
        <v>652</v>
      </c>
      <c r="C68" s="21"/>
      <c r="D68" s="21"/>
      <c r="E68" s="21"/>
      <c r="F68" s="21"/>
      <c r="G68" s="21"/>
      <c r="H68" s="22"/>
    </row>
    <row r="69" ht="15.75" customHeight="1">
      <c r="A69" s="46" t="s">
        <v>642</v>
      </c>
      <c r="B69" s="47" t="s">
        <v>652</v>
      </c>
      <c r="C69" s="21"/>
      <c r="D69" s="21"/>
      <c r="E69" s="21"/>
      <c r="F69" s="21"/>
      <c r="G69" s="21"/>
      <c r="H69" s="22"/>
    </row>
    <row r="70" ht="15.75" customHeight="1">
      <c r="A70" s="27" t="s">
        <v>691</v>
      </c>
      <c r="B70" s="28" t="s">
        <v>652</v>
      </c>
      <c r="C70" s="21"/>
      <c r="D70" s="21"/>
      <c r="E70" s="21"/>
      <c r="F70" s="21"/>
      <c r="G70" s="21"/>
      <c r="H70" s="22"/>
    </row>
    <row r="71" ht="15.75" customHeight="1">
      <c r="A71" s="27" t="s">
        <v>693</v>
      </c>
      <c r="B71" s="28" t="s">
        <v>652</v>
      </c>
      <c r="C71" s="21"/>
      <c r="D71" s="21"/>
      <c r="E71" s="21"/>
      <c r="F71" s="21"/>
      <c r="G71" s="21"/>
      <c r="H71" s="22"/>
    </row>
    <row r="72" ht="15.75" customHeight="1"/>
    <row r="73" ht="15.75" customHeight="1">
      <c r="A73" s="48" t="s">
        <v>708</v>
      </c>
      <c r="B73" s="21"/>
      <c r="C73" s="21"/>
      <c r="D73" s="21"/>
      <c r="E73" s="21"/>
      <c r="F73" s="21"/>
      <c r="G73" s="21"/>
      <c r="H73" s="22"/>
    </row>
    <row r="74" ht="39.75" customHeight="1">
      <c r="A74" s="27" t="s">
        <v>709</v>
      </c>
      <c r="B74" s="49" t="s">
        <v>710</v>
      </c>
      <c r="C74" s="21"/>
      <c r="D74" s="21"/>
      <c r="E74" s="21"/>
      <c r="F74" s="21"/>
      <c r="G74" s="21"/>
      <c r="H74" s="22"/>
    </row>
    <row r="75" ht="39.75" customHeight="1">
      <c r="A75" s="27" t="s">
        <v>711</v>
      </c>
      <c r="B75" s="49" t="s">
        <v>712</v>
      </c>
      <c r="C75" s="21"/>
      <c r="D75" s="21"/>
      <c r="E75" s="21"/>
      <c r="F75" s="21"/>
      <c r="G75" s="21"/>
      <c r="H75" s="22"/>
    </row>
    <row r="76" ht="39.75" customHeight="1">
      <c r="A76" s="27" t="s">
        <v>713</v>
      </c>
      <c r="B76" s="49" t="s">
        <v>714</v>
      </c>
      <c r="C76" s="21"/>
      <c r="D76" s="21"/>
      <c r="E76" s="21"/>
      <c r="F76" s="21"/>
      <c r="G76" s="21"/>
      <c r="H76" s="2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3:H13"/>
    <mergeCell ref="A21:H21"/>
    <mergeCell ref="A31:H31"/>
    <mergeCell ref="B32:H32"/>
    <mergeCell ref="B33:H33"/>
    <mergeCell ref="B34:H34"/>
    <mergeCell ref="B35:H35"/>
    <mergeCell ref="A36:H36"/>
    <mergeCell ref="B37:H37"/>
    <mergeCell ref="B38:H38"/>
    <mergeCell ref="B39:H39"/>
    <mergeCell ref="B40:H40"/>
    <mergeCell ref="A42:H42"/>
    <mergeCell ref="A47:H47"/>
    <mergeCell ref="B48:H48"/>
    <mergeCell ref="B49:H49"/>
    <mergeCell ref="B50:H50"/>
    <mergeCell ref="B51:H51"/>
    <mergeCell ref="B52:H52"/>
    <mergeCell ref="B53:H53"/>
    <mergeCell ref="B54:H54"/>
    <mergeCell ref="B55:H55"/>
    <mergeCell ref="A57:H57"/>
    <mergeCell ref="B58:H58"/>
    <mergeCell ref="B59:H59"/>
    <mergeCell ref="B60:H60"/>
    <mergeCell ref="B61:H61"/>
    <mergeCell ref="B62:H62"/>
    <mergeCell ref="B63:H63"/>
    <mergeCell ref="B64:H64"/>
    <mergeCell ref="B65:H65"/>
    <mergeCell ref="B66:H66"/>
    <mergeCell ref="B75:H75"/>
    <mergeCell ref="B76:H76"/>
    <mergeCell ref="B67:H67"/>
    <mergeCell ref="B68:H68"/>
    <mergeCell ref="B69:H69"/>
    <mergeCell ref="B70:H70"/>
    <mergeCell ref="B71:H71"/>
    <mergeCell ref="A73:H73"/>
    <mergeCell ref="B74:H7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5"/>
    <col customWidth="1" min="2" max="2" width="21.0"/>
    <col customWidth="1" min="3" max="4" width="15.75"/>
    <col customWidth="1" min="5" max="6" width="14.0"/>
    <col customWidth="1" min="7" max="7" width="38.5"/>
    <col customWidth="1" min="8" max="8" width="49.0"/>
    <col customWidth="1" min="9" max="26" width="7.63"/>
  </cols>
  <sheetData>
    <row r="1" ht="31.5" customHeight="1">
      <c r="A1" s="19" t="s">
        <v>715</v>
      </c>
    </row>
    <row r="2">
      <c r="A2" s="33" t="s">
        <v>716</v>
      </c>
      <c r="B2" s="33" t="s">
        <v>717</v>
      </c>
      <c r="C2" s="33" t="s">
        <v>718</v>
      </c>
      <c r="D2" s="33" t="s">
        <v>719</v>
      </c>
      <c r="E2" s="33" t="s">
        <v>720</v>
      </c>
      <c r="F2" s="33" t="s">
        <v>721</v>
      </c>
    </row>
    <row r="3">
      <c r="A3" s="5">
        <f>COUNTA(A5:A12)</f>
        <v>8</v>
      </c>
      <c r="B3" s="5">
        <f>COUNTIF(F5:F12,"🔄 Pending")</f>
        <v>8</v>
      </c>
      <c r="C3" s="5">
        <f>COUNTIF(F5:F12,"✅ Connected")</f>
        <v>0</v>
      </c>
      <c r="D3" s="5">
        <f>COUNTIF(F5:F12,"💬 Responded")</f>
        <v>0</v>
      </c>
      <c r="E3" s="5">
        <f>COUNTIF(D5:D12,"TPM at target co.")</f>
        <v>3</v>
      </c>
      <c r="F3" s="5">
        <f>COUNTIF(D5:D12,"MBA alumni")</f>
        <v>2</v>
      </c>
    </row>
    <row r="4">
      <c r="A4" s="6" t="s">
        <v>722</v>
      </c>
      <c r="B4" s="6" t="s">
        <v>723</v>
      </c>
      <c r="C4" s="6" t="s">
        <v>488</v>
      </c>
      <c r="D4" s="6" t="s">
        <v>724</v>
      </c>
      <c r="E4" s="6" t="s">
        <v>725</v>
      </c>
      <c r="F4" s="6" t="s">
        <v>494</v>
      </c>
      <c r="G4" s="6" t="s">
        <v>495</v>
      </c>
      <c r="H4" s="6" t="s">
        <v>496</v>
      </c>
    </row>
    <row r="5">
      <c r="A5" s="7" t="s">
        <v>726</v>
      </c>
      <c r="B5" s="8" t="s">
        <v>499</v>
      </c>
      <c r="C5" s="8" t="s">
        <v>498</v>
      </c>
      <c r="D5" s="8" t="s">
        <v>727</v>
      </c>
      <c r="E5" s="34"/>
      <c r="F5" s="8" t="s">
        <v>717</v>
      </c>
      <c r="G5" s="8" t="s">
        <v>728</v>
      </c>
      <c r="H5" s="8" t="s">
        <v>729</v>
      </c>
    </row>
    <row r="6">
      <c r="A6" s="11" t="s">
        <v>730</v>
      </c>
      <c r="B6" s="12" t="s">
        <v>499</v>
      </c>
      <c r="C6" s="12" t="s">
        <v>731</v>
      </c>
      <c r="D6" s="12" t="s">
        <v>727</v>
      </c>
      <c r="E6" s="35"/>
      <c r="F6" s="12" t="s">
        <v>717</v>
      </c>
      <c r="G6" s="12" t="s">
        <v>732</v>
      </c>
      <c r="H6" s="12" t="s">
        <v>733</v>
      </c>
    </row>
    <row r="7">
      <c r="A7" s="7" t="s">
        <v>734</v>
      </c>
      <c r="B7" s="8" t="s">
        <v>499</v>
      </c>
      <c r="C7" s="8" t="s">
        <v>735</v>
      </c>
      <c r="D7" s="8" t="s">
        <v>736</v>
      </c>
      <c r="E7" s="34"/>
      <c r="F7" s="8" t="s">
        <v>717</v>
      </c>
      <c r="G7" s="8" t="s">
        <v>737</v>
      </c>
      <c r="H7" s="8" t="s">
        <v>738</v>
      </c>
    </row>
    <row r="8">
      <c r="A8" s="11" t="s">
        <v>739</v>
      </c>
      <c r="B8" s="12" t="s">
        <v>740</v>
      </c>
      <c r="C8" s="12" t="s">
        <v>525</v>
      </c>
      <c r="D8" s="12" t="s">
        <v>741</v>
      </c>
      <c r="E8" s="35"/>
      <c r="F8" s="12" t="s">
        <v>717</v>
      </c>
      <c r="G8" s="12" t="s">
        <v>742</v>
      </c>
      <c r="H8" s="12" t="s">
        <v>743</v>
      </c>
    </row>
    <row r="9">
      <c r="A9" s="7" t="s">
        <v>744</v>
      </c>
      <c r="B9" s="8" t="s">
        <v>745</v>
      </c>
      <c r="C9" s="8" t="s">
        <v>746</v>
      </c>
      <c r="D9" s="8" t="s">
        <v>747</v>
      </c>
      <c r="E9" s="34"/>
      <c r="F9" s="8" t="s">
        <v>717</v>
      </c>
      <c r="G9" s="8" t="s">
        <v>748</v>
      </c>
      <c r="H9" s="8" t="s">
        <v>749</v>
      </c>
    </row>
    <row r="10">
      <c r="A10" s="11" t="s">
        <v>750</v>
      </c>
      <c r="B10" s="12" t="s">
        <v>751</v>
      </c>
      <c r="C10" s="12" t="s">
        <v>746</v>
      </c>
      <c r="D10" s="12" t="s">
        <v>747</v>
      </c>
      <c r="E10" s="35"/>
      <c r="F10" s="12" t="s">
        <v>717</v>
      </c>
      <c r="G10" s="12" t="s">
        <v>752</v>
      </c>
      <c r="H10" s="12" t="s">
        <v>753</v>
      </c>
    </row>
    <row r="11">
      <c r="A11" s="7" t="s">
        <v>754</v>
      </c>
      <c r="B11" s="8" t="s">
        <v>755</v>
      </c>
      <c r="C11" s="8" t="s">
        <v>756</v>
      </c>
      <c r="D11" s="8" t="s">
        <v>757</v>
      </c>
      <c r="E11" s="34"/>
      <c r="F11" s="8" t="s">
        <v>717</v>
      </c>
      <c r="G11" s="8" t="s">
        <v>758</v>
      </c>
      <c r="H11" s="8" t="s">
        <v>759</v>
      </c>
    </row>
    <row r="12">
      <c r="A12" s="11" t="s">
        <v>760</v>
      </c>
      <c r="B12" s="12" t="s">
        <v>761</v>
      </c>
      <c r="C12" s="12" t="s">
        <v>509</v>
      </c>
      <c r="D12" s="12" t="s">
        <v>727</v>
      </c>
      <c r="E12" s="35"/>
      <c r="F12" s="12" t="s">
        <v>717</v>
      </c>
      <c r="G12" s="12" t="s">
        <v>762</v>
      </c>
      <c r="H12" s="12" t="s">
        <v>763</v>
      </c>
    </row>
    <row r="14">
      <c r="A14" s="50" t="s">
        <v>764</v>
      </c>
    </row>
    <row r="15">
      <c r="A15" s="51" t="s">
        <v>765</v>
      </c>
    </row>
    <row r="16" ht="90.0" customHeight="1">
      <c r="A16" s="52" t="s">
        <v>766</v>
      </c>
      <c r="B16" s="21"/>
      <c r="C16" s="21"/>
      <c r="D16" s="21"/>
      <c r="E16" s="21"/>
      <c r="F16" s="21"/>
      <c r="G16" s="21"/>
      <c r="H16" s="22"/>
    </row>
    <row r="18">
      <c r="A18" s="51" t="s">
        <v>767</v>
      </c>
    </row>
    <row r="19" ht="90.0" customHeight="1">
      <c r="A19" s="52" t="s">
        <v>768</v>
      </c>
      <c r="B19" s="21"/>
      <c r="C19" s="21"/>
      <c r="D19" s="21"/>
      <c r="E19" s="21"/>
      <c r="F19" s="21"/>
      <c r="G19" s="21"/>
      <c r="H19" s="22"/>
    </row>
    <row r="21" ht="15.75" customHeight="1">
      <c r="A21" s="51" t="s">
        <v>769</v>
      </c>
    </row>
    <row r="22" ht="90.0" customHeight="1">
      <c r="A22" s="52" t="s">
        <v>770</v>
      </c>
      <c r="B22" s="21"/>
      <c r="C22" s="21"/>
      <c r="D22" s="21"/>
      <c r="E22" s="21"/>
      <c r="F22" s="21"/>
      <c r="G22" s="21"/>
      <c r="H22" s="22"/>
    </row>
    <row r="23" ht="15.75" customHeight="1"/>
    <row r="24" ht="15.75" customHeight="1">
      <c r="A24" s="51" t="s">
        <v>771</v>
      </c>
    </row>
    <row r="25" ht="90.0" customHeight="1">
      <c r="A25" s="52" t="s">
        <v>772</v>
      </c>
      <c r="B25" s="21"/>
      <c r="C25" s="21"/>
      <c r="D25" s="21"/>
      <c r="E25" s="21"/>
      <c r="F25" s="21"/>
      <c r="G25" s="21"/>
      <c r="H25" s="2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H22"/>
    <mergeCell ref="A24:H24"/>
    <mergeCell ref="A25:H25"/>
    <mergeCell ref="A1:H1"/>
    <mergeCell ref="A14:H14"/>
    <mergeCell ref="A15:H15"/>
    <mergeCell ref="A16:H16"/>
    <mergeCell ref="A18:H18"/>
    <mergeCell ref="A19:H19"/>
    <mergeCell ref="A21:H21"/>
  </mergeCells>
  <conditionalFormatting sqref="F5:F12">
    <cfRule type="cellIs" dxfId="0" priority="1" operator="equal">
      <formula>"✅ Connected"</formula>
    </cfRule>
  </conditionalFormatting>
  <conditionalFormatting sqref="F5:F12">
    <cfRule type="cellIs" dxfId="1" priority="2" operator="equal">
      <formula>"💬 Responded"</formula>
    </cfRule>
  </conditionalFormatting>
  <dataValidations>
    <dataValidation type="list" allowBlank="1" sqref="F5:F12">
      <formula1>"🔄 Pending,✅ Connected,💬 Responded,❌ No reply"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5.0"/>
    <col customWidth="1" min="2" max="2" width="15.75"/>
    <col customWidth="1" min="3" max="3" width="63.0"/>
    <col customWidth="1" min="4" max="4" width="17.5"/>
    <col customWidth="1" min="5" max="5" width="12.25"/>
    <col customWidth="1" min="6" max="26" width="7.63"/>
  </cols>
  <sheetData>
    <row r="1" ht="31.5" customHeight="1">
      <c r="A1" s="19" t="s">
        <v>773</v>
      </c>
    </row>
    <row r="2">
      <c r="A2" s="33" t="s">
        <v>716</v>
      </c>
      <c r="B2" s="33" t="s">
        <v>774</v>
      </c>
      <c r="C2" s="33" t="s">
        <v>5</v>
      </c>
      <c r="D2" s="33" t="s">
        <v>775</v>
      </c>
    </row>
    <row r="3">
      <c r="A3" s="5">
        <f>COUNTA(A5:A28)</f>
        <v>22</v>
      </c>
      <c r="B3" s="5">
        <f>COUNTIF(E5:E28,"Overdue")</f>
        <v>0</v>
      </c>
      <c r="C3" s="5">
        <f>COUNTIF(E5:E28,"Done")</f>
        <v>0</v>
      </c>
      <c r="D3" s="5" t="str">
        <f>IFERROR(ROUND(C3/A3*100,0)&amp;"%","0%")</f>
        <v>0%</v>
      </c>
    </row>
    <row r="4">
      <c r="A4" s="6" t="s">
        <v>776</v>
      </c>
      <c r="B4" s="6" t="s">
        <v>777</v>
      </c>
      <c r="C4" s="6" t="s">
        <v>778</v>
      </c>
      <c r="D4" s="6" t="s">
        <v>779</v>
      </c>
      <c r="E4" s="6" t="s">
        <v>16</v>
      </c>
    </row>
    <row r="5">
      <c r="A5" s="7" t="s">
        <v>780</v>
      </c>
      <c r="B5" s="8" t="s">
        <v>781</v>
      </c>
      <c r="C5" s="8" t="s">
        <v>782</v>
      </c>
      <c r="D5" s="34">
        <f t="shared" ref="D5:D7" si="1">TODAY()+7</f>
        <v>46202</v>
      </c>
      <c r="E5" s="8" t="str">
        <f t="shared" ref="E5:E18" si="2">IF(D5="","",IF(D5&lt;TODAY(),"Overdue","Pending"))</f>
        <v>Pending</v>
      </c>
    </row>
    <row r="6">
      <c r="A6" s="11" t="s">
        <v>783</v>
      </c>
      <c r="B6" s="12" t="s">
        <v>781</v>
      </c>
      <c r="C6" s="12" t="s">
        <v>784</v>
      </c>
      <c r="D6" s="35">
        <f t="shared" si="1"/>
        <v>46202</v>
      </c>
      <c r="E6" s="12" t="str">
        <f t="shared" si="2"/>
        <v>Pending</v>
      </c>
    </row>
    <row r="7">
      <c r="A7" s="7" t="s">
        <v>40</v>
      </c>
      <c r="B7" s="8" t="s">
        <v>781</v>
      </c>
      <c r="C7" s="8" t="s">
        <v>785</v>
      </c>
      <c r="D7" s="34">
        <f t="shared" si="1"/>
        <v>46202</v>
      </c>
      <c r="E7" s="8" t="str">
        <f t="shared" si="2"/>
        <v>Pending</v>
      </c>
    </row>
    <row r="8">
      <c r="A8" s="11" t="s">
        <v>786</v>
      </c>
      <c r="B8" s="12" t="s">
        <v>467</v>
      </c>
      <c r="C8" s="12" t="s">
        <v>787</v>
      </c>
      <c r="D8" s="35" t="str">
        <f>$B$2+7</f>
        <v>#VALUE!</v>
      </c>
      <c r="E8" s="12" t="str">
        <f t="shared" si="2"/>
        <v>#VALUE!</v>
      </c>
    </row>
    <row r="9">
      <c r="A9" s="7" t="s">
        <v>788</v>
      </c>
      <c r="B9" s="8" t="s">
        <v>789</v>
      </c>
      <c r="C9" s="8" t="s">
        <v>790</v>
      </c>
      <c r="D9" s="34" t="str">
        <f t="shared" ref="D9:D11" si="3">$B$2+14</f>
        <v>#VALUE!</v>
      </c>
      <c r="E9" s="8" t="str">
        <f t="shared" si="2"/>
        <v>#VALUE!</v>
      </c>
    </row>
    <row r="10">
      <c r="A10" s="11" t="s">
        <v>74</v>
      </c>
      <c r="B10" s="12" t="s">
        <v>789</v>
      </c>
      <c r="C10" s="12" t="s">
        <v>791</v>
      </c>
      <c r="D10" s="35" t="str">
        <f t="shared" si="3"/>
        <v>#VALUE!</v>
      </c>
      <c r="E10" s="12" t="str">
        <f t="shared" si="2"/>
        <v>#VALUE!</v>
      </c>
    </row>
    <row r="11">
      <c r="A11" s="7" t="s">
        <v>30</v>
      </c>
      <c r="B11" s="8" t="s">
        <v>789</v>
      </c>
      <c r="C11" s="8" t="s">
        <v>792</v>
      </c>
      <c r="D11" s="34" t="str">
        <f t="shared" si="3"/>
        <v>#VALUE!</v>
      </c>
      <c r="E11" s="8" t="str">
        <f t="shared" si="2"/>
        <v>#VALUE!</v>
      </c>
    </row>
    <row r="12">
      <c r="A12" s="11" t="s">
        <v>793</v>
      </c>
      <c r="B12" s="12" t="s">
        <v>794</v>
      </c>
      <c r="C12" s="12" t="s">
        <v>795</v>
      </c>
      <c r="D12" s="35" t="str">
        <f>$B$2+21</f>
        <v>#VALUE!</v>
      </c>
      <c r="E12" s="12" t="str">
        <f t="shared" si="2"/>
        <v>#VALUE!</v>
      </c>
    </row>
    <row r="13">
      <c r="A13" s="7" t="s">
        <v>796</v>
      </c>
      <c r="B13" s="8" t="s">
        <v>797</v>
      </c>
      <c r="C13" s="8" t="s">
        <v>798</v>
      </c>
      <c r="D13" s="34" t="str">
        <f>$B$2+28</f>
        <v>#VALUE!</v>
      </c>
      <c r="E13" s="8" t="str">
        <f t="shared" si="2"/>
        <v>#VALUE!</v>
      </c>
    </row>
    <row r="14">
      <c r="A14" s="11" t="s">
        <v>799</v>
      </c>
      <c r="B14" s="12" t="s">
        <v>800</v>
      </c>
      <c r="C14" s="12" t="s">
        <v>801</v>
      </c>
      <c r="D14" s="35" t="str">
        <f>$B$2+56</f>
        <v>#VALUE!</v>
      </c>
      <c r="E14" s="12" t="str">
        <f t="shared" si="2"/>
        <v>#VALUE!</v>
      </c>
    </row>
    <row r="15">
      <c r="A15" s="7" t="s">
        <v>802</v>
      </c>
      <c r="B15" s="8" t="s">
        <v>803</v>
      </c>
      <c r="C15" s="8" t="s">
        <v>804</v>
      </c>
      <c r="D15" s="34" t="str">
        <f>$B$2+42</f>
        <v>#VALUE!</v>
      </c>
      <c r="E15" s="8" t="str">
        <f t="shared" si="2"/>
        <v>#VALUE!</v>
      </c>
    </row>
    <row r="16">
      <c r="A16" s="11" t="s">
        <v>805</v>
      </c>
      <c r="B16" s="12" t="s">
        <v>800</v>
      </c>
      <c r="C16" s="12" t="s">
        <v>806</v>
      </c>
      <c r="D16" s="35" t="str">
        <f>$B$2+56</f>
        <v>#VALUE!</v>
      </c>
      <c r="E16" s="12" t="str">
        <f t="shared" si="2"/>
        <v>#VALUE!</v>
      </c>
    </row>
    <row r="17">
      <c r="A17" s="7" t="s">
        <v>807</v>
      </c>
      <c r="B17" s="8" t="s">
        <v>808</v>
      </c>
      <c r="C17" s="8" t="s">
        <v>809</v>
      </c>
      <c r="D17" s="34" t="str">
        <f>$B$2+21</f>
        <v>#VALUE!</v>
      </c>
      <c r="E17" s="8" t="str">
        <f t="shared" si="2"/>
        <v>#VALUE!</v>
      </c>
    </row>
    <row r="18">
      <c r="A18" s="11" t="s">
        <v>810</v>
      </c>
      <c r="B18" s="12" t="s">
        <v>789</v>
      </c>
      <c r="C18" s="12" t="s">
        <v>811</v>
      </c>
      <c r="D18" s="35" t="str">
        <f>$B$2+14</f>
        <v>#VALUE!</v>
      </c>
      <c r="E18" s="12" t="str">
        <f t="shared" si="2"/>
        <v>#VALUE!</v>
      </c>
    </row>
    <row r="20">
      <c r="A20" s="53" t="s">
        <v>812</v>
      </c>
    </row>
    <row r="21" ht="15.75" customHeight="1">
      <c r="A21" s="27" t="s">
        <v>813</v>
      </c>
      <c r="B21" s="54" t="s">
        <v>814</v>
      </c>
      <c r="C21" s="21"/>
      <c r="D21" s="21"/>
      <c r="E21" s="22"/>
    </row>
    <row r="22" ht="15.75" customHeight="1">
      <c r="A22" s="27" t="s">
        <v>815</v>
      </c>
      <c r="B22" s="54" t="s">
        <v>816</v>
      </c>
      <c r="C22" s="21"/>
      <c r="D22" s="21"/>
      <c r="E22" s="22"/>
    </row>
    <row r="23" ht="15.75" customHeight="1">
      <c r="A23" s="27" t="s">
        <v>817</v>
      </c>
      <c r="B23" s="54" t="s">
        <v>818</v>
      </c>
      <c r="C23" s="21"/>
      <c r="D23" s="21"/>
      <c r="E23" s="22"/>
    </row>
    <row r="24" ht="15.75" customHeight="1"/>
    <row r="25" ht="15.75" customHeight="1">
      <c r="A25" s="53" t="s">
        <v>819</v>
      </c>
    </row>
    <row r="26" ht="15.75" customHeight="1">
      <c r="A26" s="27" t="s">
        <v>820</v>
      </c>
      <c r="B26" s="28" t="s">
        <v>821</v>
      </c>
      <c r="C26" s="21"/>
      <c r="D26" s="21"/>
      <c r="E26" s="22"/>
    </row>
    <row r="27" ht="15.75" customHeight="1">
      <c r="A27" s="27" t="s">
        <v>822</v>
      </c>
      <c r="B27" s="28" t="s">
        <v>823</v>
      </c>
      <c r="C27" s="21"/>
      <c r="D27" s="21"/>
      <c r="E27" s="22"/>
    </row>
    <row r="28" ht="15.75" customHeight="1">
      <c r="A28" s="27" t="s">
        <v>824</v>
      </c>
      <c r="B28" s="28" t="s">
        <v>825</v>
      </c>
      <c r="C28" s="21"/>
      <c r="D28" s="21"/>
      <c r="E28" s="22"/>
    </row>
    <row r="29" ht="15.75" customHeight="1">
      <c r="A29" s="27" t="s">
        <v>826</v>
      </c>
      <c r="B29" s="28" t="s">
        <v>827</v>
      </c>
      <c r="C29" s="21"/>
      <c r="D29" s="21"/>
      <c r="E29" s="22"/>
    </row>
    <row r="30" ht="15.75" customHeight="1">
      <c r="A30" s="27" t="s">
        <v>828</v>
      </c>
      <c r="B30" s="28" t="s">
        <v>829</v>
      </c>
      <c r="C30" s="21"/>
      <c r="D30" s="21"/>
      <c r="E30" s="22"/>
    </row>
    <row r="31" ht="15.75" customHeight="1">
      <c r="A31" s="27" t="s">
        <v>830</v>
      </c>
      <c r="B31" s="28" t="s">
        <v>831</v>
      </c>
      <c r="C31" s="21"/>
      <c r="D31" s="21"/>
      <c r="E31" s="2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7:E27"/>
    <mergeCell ref="B28:E28"/>
    <mergeCell ref="B29:E29"/>
    <mergeCell ref="B30:E30"/>
    <mergeCell ref="B31:E31"/>
    <mergeCell ref="A1:E1"/>
    <mergeCell ref="A20:E20"/>
    <mergeCell ref="B21:E21"/>
    <mergeCell ref="B22:E22"/>
    <mergeCell ref="B23:E23"/>
    <mergeCell ref="A25:E25"/>
    <mergeCell ref="B26:E26"/>
  </mergeCells>
  <conditionalFormatting sqref="E5:E18">
    <cfRule type="cellIs" dxfId="4" priority="1" operator="equal">
      <formula>"Overdue"</formula>
    </cfRule>
  </conditionalFormatting>
  <conditionalFormatting sqref="E5:E18">
    <cfRule type="cellIs" dxfId="0" priority="2" operator="equal">
      <formula>"Done"</formula>
    </cfRule>
  </conditionalFormatting>
  <dataValidations>
    <dataValidation type="list" allowBlank="1" sqref="E5:E18">
      <formula1>"Pending,In Progress,Done,Overdue"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31.5"/>
    <col customWidth="1" min="3" max="3" width="59.5"/>
    <col customWidth="1" min="4" max="26" width="7.63"/>
  </cols>
  <sheetData>
    <row r="1" ht="31.5" customHeight="1">
      <c r="A1" s="19" t="s">
        <v>832</v>
      </c>
    </row>
    <row r="3">
      <c r="A3" s="55" t="s">
        <v>833</v>
      </c>
      <c r="B3" s="21"/>
      <c r="C3" s="22"/>
    </row>
    <row r="4" ht="199.5" customHeight="1">
      <c r="A4" s="56" t="s">
        <v>834</v>
      </c>
      <c r="B4" s="21"/>
      <c r="C4" s="22"/>
    </row>
    <row r="6">
      <c r="A6" s="55" t="s">
        <v>835</v>
      </c>
      <c r="B6" s="21"/>
      <c r="C6" s="22"/>
    </row>
    <row r="7" ht="199.5" customHeight="1">
      <c r="A7" s="56" t="s">
        <v>836</v>
      </c>
      <c r="B7" s="21"/>
      <c r="C7" s="22"/>
    </row>
    <row r="9">
      <c r="A9" s="55" t="s">
        <v>837</v>
      </c>
      <c r="B9" s="21"/>
      <c r="C9" s="22"/>
    </row>
    <row r="10" ht="199.5" customHeight="1">
      <c r="A10" s="56" t="s">
        <v>838</v>
      </c>
      <c r="B10" s="21"/>
      <c r="C10" s="22"/>
    </row>
    <row r="12">
      <c r="A12" s="55" t="s">
        <v>839</v>
      </c>
      <c r="B12" s="21"/>
      <c r="C12" s="22"/>
    </row>
    <row r="13" ht="199.5" customHeight="1">
      <c r="A13" s="56" t="s">
        <v>840</v>
      </c>
      <c r="B13" s="21"/>
      <c r="C13" s="22"/>
    </row>
    <row r="15">
      <c r="A15" s="55" t="s">
        <v>841</v>
      </c>
      <c r="B15" s="21"/>
      <c r="C15" s="22"/>
    </row>
    <row r="16" ht="199.5" customHeight="1">
      <c r="A16" s="56" t="s">
        <v>842</v>
      </c>
      <c r="B16" s="21"/>
      <c r="C16" s="22"/>
    </row>
    <row r="18">
      <c r="A18" s="55" t="s">
        <v>843</v>
      </c>
      <c r="B18" s="21"/>
      <c r="C18" s="22"/>
    </row>
    <row r="19" ht="199.5" customHeight="1">
      <c r="A19" s="56" t="s">
        <v>844</v>
      </c>
      <c r="B19" s="21"/>
      <c r="C19" s="22"/>
    </row>
    <row r="21" ht="15.75" customHeight="1">
      <c r="A21" s="55" t="s">
        <v>845</v>
      </c>
      <c r="B21" s="21"/>
      <c r="C21" s="22"/>
    </row>
    <row r="22" ht="199.5" customHeight="1">
      <c r="A22" s="56" t="s">
        <v>846</v>
      </c>
      <c r="B22" s="21"/>
      <c r="C22" s="2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2:C12"/>
    <mergeCell ref="A13:C13"/>
    <mergeCell ref="A15:C15"/>
    <mergeCell ref="A16:C16"/>
    <mergeCell ref="A18:C18"/>
    <mergeCell ref="A19:C19"/>
    <mergeCell ref="A21:C21"/>
    <mergeCell ref="A22:C22"/>
    <mergeCell ref="A1:C1"/>
    <mergeCell ref="A3:C3"/>
    <mergeCell ref="A4:C4"/>
    <mergeCell ref="A6:C6"/>
    <mergeCell ref="A7:C7"/>
    <mergeCell ref="A9:C9"/>
    <mergeCell ref="A10:C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2026-06-21T14:32:10Z</dcterms:created>
  <dc:creator>openpyxl</dc:creator>
</cp:coreProperties>
</file>